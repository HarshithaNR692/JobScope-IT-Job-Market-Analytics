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xr:revisionPtr revIDLastSave="0" documentId="8_{B9923336-5B29-A04E-8BE1-1399A2E902BC}" xr6:coauthVersionLast="47" xr6:coauthVersionMax="47" xr10:uidLastSave="{00000000-0000-0000-0000-000000000000}"/>
  <bookViews>
    <workbookView xWindow="0" yWindow="0" windowWidth="0" windowHeight="0" activeTab="2" xr2:uid="{00000000-000D-0000-FFFF-FFFF00000000}"/>
  </bookViews>
  <sheets>
    <sheet name="Raw_Data" sheetId="1" r:id="rId1"/>
    <sheet name="PivotTables" sheetId="2" r:id="rId2"/>
    <sheet name="Job Dashboard " sheetId="4" r:id="rId3"/>
  </sheets>
  <definedNames>
    <definedName name="_xlnm._FilterDatabase" localSheetId="0" hidden="1">Raw_Data!$A$1:$L$41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2" l="1"/>
  <c r="B16" i="2"/>
  <c r="B17" i="2"/>
  <c r="B18" i="2"/>
  <c r="B14" i="2"/>
  <c r="K42" i="1"/>
  <c r="I42" i="1"/>
  <c r="X7" i="2"/>
  <c r="X6" i="2"/>
  <c r="X5" i="2"/>
  <c r="X4" i="2"/>
  <c r="X3" i="2"/>
  <c r="X2" i="2"/>
  <c r="W7" i="2"/>
  <c r="W6" i="2"/>
  <c r="W5" i="2"/>
  <c r="W4" i="2"/>
  <c r="W3" i="2"/>
  <c r="W2" i="2"/>
  <c r="H7" i="2"/>
  <c r="H6" i="2"/>
  <c r="H5" i="2"/>
  <c r="H4" i="2"/>
  <c r="H3" i="2"/>
  <c r="H2" i="2"/>
  <c r="E11" i="2"/>
  <c r="E10" i="2"/>
  <c r="E9" i="2"/>
  <c r="E8" i="2"/>
  <c r="E7" i="2"/>
  <c r="E6" i="2"/>
  <c r="E5" i="2"/>
  <c r="E4" i="2"/>
  <c r="E3" i="2"/>
  <c r="E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<sst xmlns="http://schemas.openxmlformats.org/spreadsheetml/2006/main" count="514" uniqueCount="185">
  <si>
    <t>Job_ID</t>
  </si>
  <si>
    <t>Job_Title</t>
  </si>
  <si>
    <t>Company</t>
  </si>
  <si>
    <t>Location</t>
  </si>
  <si>
    <t>Experience</t>
  </si>
  <si>
    <t>Skill</t>
  </si>
  <si>
    <t>Industry</t>
  </si>
  <si>
    <t>Salary_LPA</t>
  </si>
  <si>
    <t>Job_Type</t>
  </si>
  <si>
    <t>Posted_Date</t>
  </si>
  <si>
    <t>Applications</t>
  </si>
  <si>
    <t>Status</t>
  </si>
  <si>
    <t>J001</t>
  </si>
  <si>
    <t>Software Developer</t>
  </si>
  <si>
    <t>TechNova</t>
  </si>
  <si>
    <t>Bengaluru</t>
  </si>
  <si>
    <t>Fresher</t>
  </si>
  <si>
    <t>Java</t>
  </si>
  <si>
    <t>IT</t>
  </si>
  <si>
    <t>Full Time</t>
  </si>
  <si>
    <t>05-Jan-2026</t>
  </si>
  <si>
    <t>Open</t>
  </si>
  <si>
    <t>J002</t>
  </si>
  <si>
    <t>Data Analyst</t>
  </si>
  <si>
    <t>DataSphere</t>
  </si>
  <si>
    <t>Hyderabad</t>
  </si>
  <si>
    <t>1-2 Years</t>
  </si>
  <si>
    <t>SQL</t>
  </si>
  <si>
    <t>Analytics</t>
  </si>
  <si>
    <t>08-Jan-2026</t>
  </si>
  <si>
    <t>J003</t>
  </si>
  <si>
    <t>Python Developer</t>
  </si>
  <si>
    <t>CodeWorks</t>
  </si>
  <si>
    <t>Pune</t>
  </si>
  <si>
    <t>Python</t>
  </si>
  <si>
    <t>12-Jan-2026</t>
  </si>
  <si>
    <t>J004</t>
  </si>
  <si>
    <t>AI Engineer</t>
  </si>
  <si>
    <t>InnovateAI</t>
  </si>
  <si>
    <t>2-3 Years</t>
  </si>
  <si>
    <t>AI/ML</t>
  </si>
  <si>
    <t>AI</t>
  </si>
  <si>
    <t>18-Jan-2026</t>
  </si>
  <si>
    <t>J005</t>
  </si>
  <si>
    <t>Cybersecurity Analyst</t>
  </si>
  <si>
    <t>SecureNet</t>
  </si>
  <si>
    <t>Chennai</t>
  </si>
  <si>
    <t>Cybersecurity</t>
  </si>
  <si>
    <t>Security</t>
  </si>
  <si>
    <t>22-Jan-2026</t>
  </si>
  <si>
    <t>Closed</t>
  </si>
  <si>
    <t>J006</t>
  </si>
  <si>
    <t>Software Engineer</t>
  </si>
  <si>
    <t>CloudTech</t>
  </si>
  <si>
    <t>02-Feb-2026</t>
  </si>
  <si>
    <t>J007</t>
  </si>
  <si>
    <t>Data Scientist</t>
  </si>
  <si>
    <t>AnalyticsPro</t>
  </si>
  <si>
    <t>3-5 Years</t>
  </si>
  <si>
    <t>07-Feb-2026</t>
  </si>
  <si>
    <t>J008</t>
  </si>
  <si>
    <t>Frontend Developer</t>
  </si>
  <si>
    <t>WebWorks</t>
  </si>
  <si>
    <t>JavaScript</t>
  </si>
  <si>
    <t>11-Feb-2026</t>
  </si>
  <si>
    <t>J009</t>
  </si>
  <si>
    <t>Backend Developer</t>
  </si>
  <si>
    <t>16-Feb-2026</t>
  </si>
  <si>
    <t>J010</t>
  </si>
  <si>
    <t>Cloud Engineer</t>
  </si>
  <si>
    <t>AWS</t>
  </si>
  <si>
    <t>Cloud</t>
  </si>
  <si>
    <t>24-Feb-2026</t>
  </si>
  <si>
    <t>J011</t>
  </si>
  <si>
    <t>InfoSoft</t>
  </si>
  <si>
    <t>Mysore</t>
  </si>
  <si>
    <t>C++</t>
  </si>
  <si>
    <t>03-Mar-2026</t>
  </si>
  <si>
    <t>J012</t>
  </si>
  <si>
    <t>Business Analyst</t>
  </si>
  <si>
    <t>BusinessHub</t>
  </si>
  <si>
    <t>Mumbai</t>
  </si>
  <si>
    <t>Excel</t>
  </si>
  <si>
    <t>08-Mar-2026</t>
  </si>
  <si>
    <t>J013</t>
  </si>
  <si>
    <t>Machine Learning Engineer</t>
  </si>
  <si>
    <t>Machine Learning</t>
  </si>
  <si>
    <t>14-Mar-2026</t>
  </si>
  <si>
    <t>J014</t>
  </si>
  <si>
    <t>UI/UX Designer</t>
  </si>
  <si>
    <t>CreativeTech</t>
  </si>
  <si>
    <t>Figma</t>
  </si>
  <si>
    <t>Design</t>
  </si>
  <si>
    <t>19-Mar-2026</t>
  </si>
  <si>
    <t>J015</t>
  </si>
  <si>
    <t>Database Administrator</t>
  </si>
  <si>
    <t>DBMS</t>
  </si>
  <si>
    <t>26-Mar-2026</t>
  </si>
  <si>
    <t>J016</t>
  </si>
  <si>
    <t>DevOps Engineer</t>
  </si>
  <si>
    <t>Docker</t>
  </si>
  <si>
    <t>02-Apr-2026</t>
  </si>
  <si>
    <t>J017</t>
  </si>
  <si>
    <t>Java Developer</t>
  </si>
  <si>
    <t>09-Apr-2026</t>
  </si>
  <si>
    <t>J018</t>
  </si>
  <si>
    <t>Power BI</t>
  </si>
  <si>
    <t>15-Apr-2026</t>
  </si>
  <si>
    <t>J019</t>
  </si>
  <si>
    <t>AI Developer</t>
  </si>
  <si>
    <t>21-Apr-2026</t>
  </si>
  <si>
    <t>J020</t>
  </si>
  <si>
    <t>Network Engineer</t>
  </si>
  <si>
    <t>Networking</t>
  </si>
  <si>
    <t>28-Apr-2026</t>
  </si>
  <si>
    <t>J021</t>
  </si>
  <si>
    <t>04-May-2026</t>
  </si>
  <si>
    <t>J022</t>
  </si>
  <si>
    <t>10-May-2026</t>
  </si>
  <si>
    <t>J023</t>
  </si>
  <si>
    <t>16-May-2026</t>
  </si>
  <si>
    <t>J024</t>
  </si>
  <si>
    <t>23-May-2026</t>
  </si>
  <si>
    <t>J025</t>
  </si>
  <si>
    <t>29-May-2026</t>
  </si>
  <si>
    <t>J026</t>
  </si>
  <si>
    <t>03-Jun-2026</t>
  </si>
  <si>
    <t>J027</t>
  </si>
  <si>
    <t>09-Jun-2026</t>
  </si>
  <si>
    <t>J028</t>
  </si>
  <si>
    <t>15-Jun-2026</t>
  </si>
  <si>
    <t>J029</t>
  </si>
  <si>
    <t>21-Jun-2026</t>
  </si>
  <si>
    <t>J030</t>
  </si>
  <si>
    <t>28-Jun-2026</t>
  </si>
  <si>
    <t>J031</t>
  </si>
  <si>
    <t>C</t>
  </si>
  <si>
    <t>04-Jul-2026</t>
  </si>
  <si>
    <t>J032</t>
  </si>
  <si>
    <t>10-Jul-2026</t>
  </si>
  <si>
    <t>J033</t>
  </si>
  <si>
    <t>16-Jul-2026</t>
  </si>
  <si>
    <t>J034</t>
  </si>
  <si>
    <t>22-Jul-2026</t>
  </si>
  <si>
    <t>J035</t>
  </si>
  <si>
    <t>28-Jul-2026</t>
  </si>
  <si>
    <t>J036</t>
  </si>
  <si>
    <t>03-Aug-2026</t>
  </si>
  <si>
    <t>J037</t>
  </si>
  <si>
    <t>06-Aug-2026</t>
  </si>
  <si>
    <t>J038</t>
  </si>
  <si>
    <t>09-Aug-2026</t>
  </si>
  <si>
    <t>J039</t>
  </si>
  <si>
    <t>11-Aug-2026</t>
  </si>
  <si>
    <t>J040</t>
  </si>
  <si>
    <t>13-Aug-2026</t>
  </si>
  <si>
    <t>Job Title</t>
  </si>
  <si>
    <t>Number of Jobs</t>
  </si>
  <si>
    <t>Count</t>
  </si>
  <si>
    <t xml:space="preserve">Open </t>
  </si>
  <si>
    <t xml:space="preserve">Closed </t>
  </si>
  <si>
    <t>Total Jobs</t>
  </si>
  <si>
    <t>Open Jobs</t>
  </si>
  <si>
    <t>Closed Jobs</t>
  </si>
  <si>
    <t xml:space="preserve">Top Location </t>
  </si>
  <si>
    <t xml:space="preserve">Bengaluru </t>
  </si>
  <si>
    <t>Average Salary (LPA)</t>
  </si>
  <si>
    <t>Total Applications</t>
  </si>
  <si>
    <t>Open %</t>
  </si>
  <si>
    <t>Closed %</t>
  </si>
  <si>
    <t>Applications by Location🌏</t>
  </si>
  <si>
    <t>💻 Jobs by Skill</t>
  </si>
  <si>
    <t>Dashboard Summary📊</t>
  </si>
  <si>
    <t>📌 Job Market Snapshot</t>
  </si>
  <si>
    <t>📈 Key Insights</t>
  </si>
  <si>
    <t>📍 Bengaluru has the highest number of jobs</t>
  </si>
  <si>
    <t>💼 90% of jobs are currently open</t>
  </si>
  <si>
    <t>💰 Average salary is 9.03 LPA</t>
  </si>
  <si>
    <t>📊 Total applications are 7,979</t>
  </si>
  <si>
    <t>💡 Market Highlights</t>
  </si>
  <si>
    <t>🏙️ Bengaluru leads with 12 jobs</t>
  </si>
  <si>
    <t>📊 90% of jobs are open</t>
  </si>
  <si>
    <t>💰 Average salary: 9.03 LPA</t>
  </si>
  <si>
    <t>📈 Total applications: 7,979</t>
  </si>
  <si>
    <t>Job Scope -IT Job Market Analytics 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</si>
</sst>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4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3" fillId="0" borderId="0" xfId="0" applyFont="1"/>
    <xf numFmtId="0" fontId="0" fillId="3" borderId="0" xfId="0" applyFill="1"/>
    <xf numFmtId="0" fontId="0" fillId="3" borderId="1" xfId="0" applyFill="1" applyBorder="1"/>
    <xf numFmtId="0" fontId="2" fillId="3" borderId="0" xfId="0" applyFont="1" applyFill="1" applyAlignment="1">
      <alignment horizontal="left"/>
    </xf>
    <xf numFmtId="0" fontId="2" fillId="3" borderId="1" xfId="0" applyFont="1" applyFill="1" applyBorder="1"/>
    <xf numFmtId="0" fontId="0" fillId="3" borderId="0" xfId="0" applyFill="1" applyBorder="1"/>
    <xf numFmtId="0" fontId="5" fillId="5" borderId="1" xfId="0" applyFont="1" applyFill="1" applyBorder="1"/>
    <xf numFmtId="0" fontId="5" fillId="5" borderId="2" xfId="0" applyFont="1" applyFill="1" applyBorder="1"/>
    <xf numFmtId="9" fontId="5" fillId="5" borderId="2" xfId="0" applyNumberFormat="1" applyFont="1" applyFill="1" applyBorder="1"/>
    <xf numFmtId="9" fontId="5" fillId="5" borderId="1" xfId="0" applyNumberFormat="1" applyFont="1" applyFill="1" applyBorder="1"/>
    <xf numFmtId="0" fontId="4" fillId="4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 /><Relationship Id="rId1" Type="http://schemas.microsoft.com/office/2011/relationships/chartStyle" Target="style2.xml" 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 /><Relationship Id="rId1" Type="http://schemas.microsoft.com/office/2011/relationships/chartStyle" Target="style3.xml" 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 /><Relationship Id="rId1" Type="http://schemas.microsoft.com/office/2011/relationships/chartStyle" Target="style4.xml" 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 /><Relationship Id="rId1" Type="http://schemas.microsoft.com/office/2011/relationships/chartStyle" Target="style5.xml" 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 /><Relationship Id="rId1" Type="http://schemas.microsoft.com/office/2011/relationships/chartStyle" Target="style6.xml" 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 /><Relationship Id="rId1" Type="http://schemas.microsoft.com/office/2011/relationships/chartStyle" Target="style7.xml" 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 /><Relationship Id="rId1" Type="http://schemas.microsoft.com/office/2011/relationships/chartStyle" Target="style8.xml" 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 /><Relationship Id="rId1" Type="http://schemas.microsoft.com/office/2011/relationships/chartStyle" Target="style9.xml" 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 /><Relationship Id="rId1" Type="http://schemas.microsoft.com/office/2011/relationships/chartStyle" Target="style10.xml" 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 /><Relationship Id="rId1" Type="http://schemas.microsoft.com/office/2011/relationships/chartStyle" Target="style1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PivotTables!$G$2</c:f>
              <c:strCache>
                <c:ptCount val="1"/>
                <c:pt idx="0">
                  <c:v>Bengaluru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DF-0A44-8ADC-2F76BB725D25}"/>
            </c:ext>
          </c:extLst>
        </c:ser>
        <c:ser>
          <c:idx val="1"/>
          <c:order val="1"/>
          <c:tx>
            <c:strRef>
              <c:f>PivotTables!$G$3</c:f>
              <c:strCache>
                <c:ptCount val="1"/>
                <c:pt idx="0">
                  <c:v>Mysore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DF-0A44-8ADC-2F76BB725D25}"/>
            </c:ext>
          </c:extLst>
        </c:ser>
        <c:ser>
          <c:idx val="2"/>
          <c:order val="2"/>
          <c:tx>
            <c:strRef>
              <c:f>PivotTables!$G$4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6DF-0A44-8ADC-2F76BB725D25}"/>
            </c:ext>
          </c:extLst>
        </c:ser>
        <c:ser>
          <c:idx val="3"/>
          <c:order val="3"/>
          <c:tx>
            <c:strRef>
              <c:f>PivotTables!$G$5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6DF-0A44-8ADC-2F76BB725D25}"/>
            </c:ext>
          </c:extLst>
        </c:ser>
        <c:ser>
          <c:idx val="4"/>
          <c:order val="4"/>
          <c:tx>
            <c:strRef>
              <c:f>PivotTables!$G$6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PivotTables!$H$6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6DF-0A44-8ADC-2F76BB725D25}"/>
            </c:ext>
          </c:extLst>
        </c:ser>
        <c:ser>
          <c:idx val="5"/>
          <c:order val="5"/>
          <c:tx>
            <c:strRef>
              <c:f>PivotTables!$G$7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PivotTables!$H$7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6DF-0A44-8ADC-2F76BB725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386240"/>
        <c:axId val="2063388480"/>
      </c:barChart>
      <c:catAx>
        <c:axId val="206338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88480"/>
        <c:crosses val="autoZero"/>
        <c:auto val="1"/>
        <c:lblAlgn val="ctr"/>
        <c:lblOffset val="100"/>
        <c:noMultiLvlLbl val="0"/>
      </c:catAx>
      <c:valAx>
        <c:axId val="206338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PivotTables!$K$1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PivotTables!$J$2:$J$3</c:f>
              <c:strCache>
                <c:ptCount val="2"/>
                <c:pt idx="0">
                  <c:v>Open </c:v>
                </c:pt>
                <c:pt idx="1">
                  <c:v>Closed </c:v>
                </c:pt>
              </c:strCache>
            </c:strRef>
          </c:cat>
          <c:val>
            <c:numRef>
              <c:f>PivotTables!$K$2:$K$3</c:f>
              <c:numCache>
                <c:formatCode>General</c:formatCode>
                <c:ptCount val="2"/>
                <c:pt idx="0">
                  <c:v>36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49-CE4C-8232-F63FB2DF77D1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Jobs by Location — Open vs Closed</a:t>
            </a:r>
            <a:r>
              <a:rPr lang="en-US"/>
              <a:t>Chart 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PivotTables!$W$1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PivotTables!$V$2:$V$7</c:f>
              <c:strCache>
                <c:ptCount val="6"/>
                <c:pt idx="0">
                  <c:v>Bengaluru</c:v>
                </c:pt>
                <c:pt idx="1">
                  <c:v>Mysore</c:v>
                </c:pt>
                <c:pt idx="2">
                  <c:v>Mumbai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PivotTables!$W$2:$W$7</c:f>
              <c:numCache>
                <c:formatCode>General</c:formatCode>
                <c:ptCount val="6"/>
                <c:pt idx="0">
                  <c:v>11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CC-F44E-B402-CD21B6902455}"/>
            </c:ext>
          </c:extLst>
        </c:ser>
        <c:ser>
          <c:idx val="1"/>
          <c:order val="1"/>
          <c:tx>
            <c:strRef>
              <c:f>PivotTables!$X$1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PivotTables!$V$2:$V$7</c:f>
              <c:strCache>
                <c:ptCount val="6"/>
                <c:pt idx="0">
                  <c:v>Bengaluru</c:v>
                </c:pt>
                <c:pt idx="1">
                  <c:v>Mysore</c:v>
                </c:pt>
                <c:pt idx="2">
                  <c:v>Mumbai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PivotTables!$X$2:$X$7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CC-F44E-B402-CD21B6902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660223"/>
        <c:axId val="1385663359"/>
      </c:barChart>
      <c:catAx>
        <c:axId val="138566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63359"/>
        <c:crosses val="autoZero"/>
        <c:auto val="1"/>
        <c:lblAlgn val="ctr"/>
        <c:lblOffset val="100"/>
        <c:noMultiLvlLbl val="0"/>
      </c:catAx>
      <c:valAx>
        <c:axId val="138566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6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Salary by Location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PivotTables!$B$13</c:f>
              <c:strCache>
                <c:ptCount val="1"/>
                <c:pt idx="0">
                  <c:v>Average Salary (LPA)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PivotTables!$A$14:$A$18</c:f>
              <c:strCache>
                <c:ptCount val="5"/>
                <c:pt idx="0">
                  <c:v>Bengaluru</c:v>
                </c:pt>
                <c:pt idx="1">
                  <c:v>Mysore</c:v>
                </c:pt>
                <c:pt idx="2">
                  <c:v>Pune</c:v>
                </c:pt>
                <c:pt idx="3">
                  <c:v>Hyderabad</c:v>
                </c:pt>
                <c:pt idx="4">
                  <c:v>Chennai</c:v>
                </c:pt>
              </c:strCache>
            </c:strRef>
          </c:cat>
          <c:val>
            <c:numRef>
              <c:f>PivotTables!$B$14:$B$18</c:f>
              <c:numCache>
                <c:formatCode>General</c:formatCode>
                <c:ptCount val="5"/>
                <c:pt idx="0">
                  <c:v>10.266666666666667</c:v>
                </c:pt>
                <c:pt idx="1">
                  <c:v>6.7</c:v>
                </c:pt>
                <c:pt idx="2">
                  <c:v>8.5714285714285712</c:v>
                </c:pt>
                <c:pt idx="3">
                  <c:v>8.85</c:v>
                </c:pt>
                <c:pt idx="4">
                  <c:v>7.6285714285714281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5-4264-BA1D-D6BB6C3F8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562687"/>
        <c:axId val="1063561727"/>
      </c:barChart>
      <c:catAx>
        <c:axId val="106356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61727"/>
        <c:crosses val="autoZero"/>
        <c:auto val="1"/>
        <c:lblAlgn val="ctr"/>
        <c:lblOffset val="100"/>
        <c:noMultiLvlLbl val="0"/>
      </c:catAx>
      <c:valAx>
        <c:axId val="106356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6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PivotTables!$G$2</c:f>
              <c:strCache>
                <c:ptCount val="1"/>
                <c:pt idx="0">
                  <c:v>Bengaluru</c:v>
                </c:pt>
              </c:strCache>
            </c:strRef>
          </c:tx>
          <c:spPr>
            <a:solidFill>
              <a:schemeClr val="accent4">
                <a:shade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PivotTables!$H$2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DF-AF4D-BECF-79C0EABBEF2D}"/>
            </c:ext>
          </c:extLst>
        </c:ser>
        <c:ser>
          <c:idx val="1"/>
          <c:order val="1"/>
          <c:tx>
            <c:strRef>
              <c:f>PivotTables!$G$3</c:f>
              <c:strCache>
                <c:ptCount val="1"/>
                <c:pt idx="0">
                  <c:v>Mysore</c:v>
                </c:pt>
              </c:strCache>
            </c:strRef>
          </c:tx>
          <c:spPr>
            <a:solidFill>
              <a:schemeClr val="accent4">
                <a:shade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DF-AF4D-BECF-79C0EABBEF2D}"/>
            </c:ext>
          </c:extLst>
        </c:ser>
        <c:ser>
          <c:idx val="2"/>
          <c:order val="2"/>
          <c:tx>
            <c:strRef>
              <c:f>PivotTables!$G$4</c:f>
              <c:strCache>
                <c:ptCount val="1"/>
                <c:pt idx="0">
                  <c:v>Mumbai</c:v>
                </c:pt>
              </c:strCache>
            </c:strRef>
          </c:tx>
          <c:spPr>
            <a:solidFill>
              <a:schemeClr val="accent4">
                <a:shade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DF-AF4D-BECF-79C0EABBEF2D}"/>
            </c:ext>
          </c:extLst>
        </c:ser>
        <c:ser>
          <c:idx val="3"/>
          <c:order val="3"/>
          <c:tx>
            <c:strRef>
              <c:f>PivotTables!$G$5</c:f>
              <c:strCache>
                <c:ptCount val="1"/>
                <c:pt idx="0">
                  <c:v>Pune</c:v>
                </c:pt>
              </c:strCache>
            </c:strRef>
          </c:tx>
          <c:spPr>
            <a:solidFill>
              <a:schemeClr val="accent4">
                <a:tint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DF-AF4D-BECF-79C0EABBEF2D}"/>
            </c:ext>
          </c:extLst>
        </c:ser>
        <c:ser>
          <c:idx val="4"/>
          <c:order val="4"/>
          <c:tx>
            <c:strRef>
              <c:f>PivotTables!$G$6</c:f>
              <c:strCache>
                <c:ptCount val="1"/>
                <c:pt idx="0">
                  <c:v>Hyderabad</c:v>
                </c:pt>
              </c:strCache>
            </c:strRef>
          </c:tx>
          <c:spPr>
            <a:solidFill>
              <a:schemeClr val="accent4">
                <a:tint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PivotTables!$H$6</c:f>
              <c:numCache>
                <c:formatCode>General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FDF-AF4D-BECF-79C0EABBEF2D}"/>
            </c:ext>
          </c:extLst>
        </c:ser>
        <c:ser>
          <c:idx val="5"/>
          <c:order val="5"/>
          <c:tx>
            <c:strRef>
              <c:f>PivotTables!$G$7</c:f>
              <c:strCache>
                <c:ptCount val="1"/>
                <c:pt idx="0">
                  <c:v>Chennai</c:v>
                </c:pt>
              </c:strCache>
            </c:strRef>
          </c:tx>
          <c:spPr>
            <a:solidFill>
              <a:schemeClr val="accent4">
                <a:tint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PivotTables!$H$1</c:f>
              <c:strCache>
                <c:ptCount val="1"/>
                <c:pt idx="0">
                  <c:v>Number of Jobs</c:v>
                </c:pt>
              </c:strCache>
            </c:strRef>
          </c:cat>
          <c:val>
            <c:numRef>
              <c:f>PivotTables!$H$7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FDF-AF4D-BECF-79C0EABBE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386240"/>
        <c:axId val="2063388480"/>
      </c:barChart>
      <c:catAx>
        <c:axId val="206338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88480"/>
        <c:crosses val="autoZero"/>
        <c:auto val="1"/>
        <c:lblAlgn val="ctr"/>
        <c:lblOffset val="100"/>
        <c:noMultiLvlLbl val="0"/>
      </c:catAx>
      <c:valAx>
        <c:axId val="206338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338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PivotTables!$K$1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DBE-4ED6-BC80-F7A956E56ABB}"/>
              </c:ext>
            </c:extLst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DBE-4ED6-BC80-F7A956E56A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PivotTables!$J$2:$J$3</c:f>
              <c:strCache>
                <c:ptCount val="2"/>
                <c:pt idx="0">
                  <c:v>Open </c:v>
                </c:pt>
                <c:pt idx="1">
                  <c:v>Closed </c:v>
                </c:pt>
              </c:strCache>
            </c:strRef>
          </c:cat>
          <c:val>
            <c:numRef>
              <c:f>PivotTables!$K$2:$K$3</c:f>
              <c:numCache>
                <c:formatCode>General</c:formatCode>
                <c:ptCount val="2"/>
                <c:pt idx="0">
                  <c:v>36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B-1D4E-BDE3-E3F5A6C94E1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Jobs by Location — Open vs Closed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PivotTables!$W$1</c:f>
              <c:strCache>
                <c:ptCount val="1"/>
                <c:pt idx="0">
                  <c:v>Open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PivotTables!$V$2:$V$7</c:f>
              <c:strCache>
                <c:ptCount val="6"/>
                <c:pt idx="0">
                  <c:v>Bengaluru</c:v>
                </c:pt>
                <c:pt idx="1">
                  <c:v>Mysore</c:v>
                </c:pt>
                <c:pt idx="2">
                  <c:v>Mumbai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PivotTables!$W$2:$W$7</c:f>
              <c:numCache>
                <c:formatCode>General</c:formatCode>
                <c:ptCount val="6"/>
                <c:pt idx="0">
                  <c:v>11</c:v>
                </c:pt>
                <c:pt idx="1">
                  <c:v>2</c:v>
                </c:pt>
                <c:pt idx="2">
                  <c:v>4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20-EA44-ABAA-8C7D95C8E36B}"/>
            </c:ext>
          </c:extLst>
        </c:ser>
        <c:ser>
          <c:idx val="1"/>
          <c:order val="1"/>
          <c:tx>
            <c:strRef>
              <c:f>PivotTables!$X$1</c:f>
              <c:strCache>
                <c:ptCount val="1"/>
                <c:pt idx="0">
                  <c:v>Closed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PivotTables!$V$2:$V$7</c:f>
              <c:strCache>
                <c:ptCount val="6"/>
                <c:pt idx="0">
                  <c:v>Bengaluru</c:v>
                </c:pt>
                <c:pt idx="1">
                  <c:v>Mysore</c:v>
                </c:pt>
                <c:pt idx="2">
                  <c:v>Mumbai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PivotTables!$X$2:$X$7</c:f>
              <c:numCache>
                <c:formatCode>General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20-EA44-ABAA-8C7D95C8E3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5660223"/>
        <c:axId val="1385663359"/>
      </c:barChart>
      <c:catAx>
        <c:axId val="1385660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63359"/>
        <c:crosses val="autoZero"/>
        <c:auto val="1"/>
        <c:lblAlgn val="ctr"/>
        <c:lblOffset val="100"/>
        <c:noMultiLvlLbl val="0"/>
      </c:catAx>
      <c:valAx>
        <c:axId val="138566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660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Applications by Location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'Job Dashboard '!$Q$22:$Q$27</c:f>
              <c:strCache>
                <c:ptCount val="6"/>
                <c:pt idx="0">
                  <c:v>Bengaluru</c:v>
                </c:pt>
                <c:pt idx="1">
                  <c:v>Mysore</c:v>
                </c:pt>
                <c:pt idx="2">
                  <c:v>Mumbai</c:v>
                </c:pt>
                <c:pt idx="3">
                  <c:v>Pune</c:v>
                </c:pt>
                <c:pt idx="4">
                  <c:v>Hyderabad</c:v>
                </c:pt>
                <c:pt idx="5">
                  <c:v>Chennai</c:v>
                </c:pt>
              </c:strCache>
            </c:strRef>
          </c:cat>
          <c:val>
            <c:numRef>
              <c:f>'Job Dashboard '!$R$22:$R$27</c:f>
              <c:numCache>
                <c:formatCode>General</c:formatCode>
                <c:ptCount val="6"/>
                <c:pt idx="0">
                  <c:v>2172</c:v>
                </c:pt>
                <c:pt idx="1">
                  <c:v>510</c:v>
                </c:pt>
                <c:pt idx="2">
                  <c:v>665</c:v>
                </c:pt>
                <c:pt idx="3">
                  <c:v>1426</c:v>
                </c:pt>
                <c:pt idx="4">
                  <c:v>1704</c:v>
                </c:pt>
                <c:pt idx="5">
                  <c:v>1459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40-5748-8A56-5C09349590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08661120"/>
        <c:axId val="1808675008"/>
        <c:axId val="0"/>
      </c:bar3DChart>
      <c:catAx>
        <c:axId val="1808661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675008"/>
        <c:crosses val="autoZero"/>
        <c:auto val="1"/>
        <c:lblAlgn val="ctr"/>
        <c:lblOffset val="100"/>
        <c:noMultiLvlLbl val="0"/>
      </c:catAx>
      <c:valAx>
        <c:axId val="1808675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66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Jobs by Skill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'Job Dashboard '!$R$34</c:f>
              <c:strCache>
                <c:ptCount val="1"/>
                <c:pt idx="0">
                  <c:v>Number of Jobs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'Job Dashboard '!$Q$35:$Q$49</c:f>
              <c:strCache>
                <c:ptCount val="15"/>
                <c:pt idx="0">
                  <c:v>Java</c:v>
                </c:pt>
                <c:pt idx="1">
                  <c:v>SQL</c:v>
                </c:pt>
                <c:pt idx="2">
                  <c:v>Python</c:v>
                </c:pt>
                <c:pt idx="3">
                  <c:v>AI/ML</c:v>
                </c:pt>
                <c:pt idx="4">
                  <c:v>Cybersecurity</c:v>
                </c:pt>
                <c:pt idx="5">
                  <c:v>JavaScript</c:v>
                </c:pt>
                <c:pt idx="6">
                  <c:v>AWS</c:v>
                </c:pt>
                <c:pt idx="7">
                  <c:v>C++</c:v>
                </c:pt>
                <c:pt idx="8">
                  <c:v>Excel</c:v>
                </c:pt>
                <c:pt idx="9">
                  <c:v>Machine Learning</c:v>
                </c:pt>
                <c:pt idx="10">
                  <c:v>Figma</c:v>
                </c:pt>
                <c:pt idx="11">
                  <c:v>Docker</c:v>
                </c:pt>
                <c:pt idx="12">
                  <c:v>Power BI</c:v>
                </c:pt>
                <c:pt idx="13">
                  <c:v>Networking</c:v>
                </c:pt>
                <c:pt idx="14">
                  <c:v>C</c:v>
                </c:pt>
              </c:strCache>
            </c:strRef>
          </c:cat>
          <c:val>
            <c:numRef>
              <c:f>'Job Dashboard '!$R$35:$R$49</c:f>
              <c:numCache>
                <c:formatCode>General</c:formatCode>
                <c:ptCount val="15"/>
                <c:pt idx="0">
                  <c:v>5</c:v>
                </c:pt>
                <c:pt idx="1">
                  <c:v>3</c:v>
                </c:pt>
                <c:pt idx="2">
                  <c:v>6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53-8F4D-B63F-84B7D9B53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22883648"/>
        <c:axId val="929772544"/>
        <c:axId val="0"/>
      </c:bar3DChart>
      <c:catAx>
        <c:axId val="92288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772544"/>
        <c:crosses val="autoZero"/>
        <c:auto val="1"/>
        <c:lblAlgn val="ctr"/>
        <c:lblOffset val="100"/>
        <c:noMultiLvlLbl val="0"/>
      </c:catAx>
      <c:valAx>
        <c:axId val="929772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883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Job Status Overview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'Job Dashboard '!$Q$56:$Q$57</c:f>
              <c:strCache>
                <c:ptCount val="2"/>
                <c:pt idx="0">
                  <c:v>Open Jobs</c:v>
                </c:pt>
                <c:pt idx="1">
                  <c:v>Closed Jobs</c:v>
                </c:pt>
              </c:strCache>
            </c:strRef>
          </c:cat>
          <c:val>
            <c:numRef>
              <c:f>'Job Dashboard '!$R$56:$R$57</c:f>
              <c:numCache>
                <c:formatCode>General</c:formatCode>
                <c:ptCount val="2"/>
                <c:pt idx="0">
                  <c:v>36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FD-0445-BFE8-4E190C5B7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Average Salary by Location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PivotTables!$B$13</c:f>
              <c:strCache>
                <c:ptCount val="1"/>
                <c:pt idx="0">
                  <c:v>Average Salary (LPA)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PivotTables!$A$14:$A$18</c:f>
              <c:strCache>
                <c:ptCount val="5"/>
                <c:pt idx="0">
                  <c:v>Bengaluru</c:v>
                </c:pt>
                <c:pt idx="1">
                  <c:v>Mysore</c:v>
                </c:pt>
                <c:pt idx="2">
                  <c:v>Pune</c:v>
                </c:pt>
                <c:pt idx="3">
                  <c:v>Hyderabad</c:v>
                </c:pt>
                <c:pt idx="4">
                  <c:v>Chennai</c:v>
                </c:pt>
              </c:strCache>
            </c:strRef>
          </c:cat>
          <c:val>
            <c:numRef>
              <c:f>PivotTables!$B$14:$B$18</c:f>
              <c:numCache>
                <c:formatCode>General</c:formatCode>
                <c:ptCount val="5"/>
                <c:pt idx="0">
                  <c:v>10.266666666666667</c:v>
                </c:pt>
                <c:pt idx="1">
                  <c:v>6.7</c:v>
                </c:pt>
                <c:pt idx="2">
                  <c:v>8.5714285714285712</c:v>
                </c:pt>
                <c:pt idx="3">
                  <c:v>8.85</c:v>
                </c:pt>
                <c:pt idx="4">
                  <c:v>7.6285714285714281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8-4B20-8DA8-CD06A3C60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3562687"/>
        <c:axId val="1063561727"/>
      </c:barChart>
      <c:catAx>
        <c:axId val="1063562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61727"/>
        <c:crosses val="autoZero"/>
        <c:auto val="1"/>
        <c:lblAlgn val="ctr"/>
        <c:lblOffset val="100"/>
        <c:noMultiLvlLbl val="0"/>
      </c:catAx>
      <c:valAx>
        <c:axId val="106356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56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 /><Relationship Id="rId2" Type="http://schemas.openxmlformats.org/officeDocument/2006/relationships/chart" Target="../charts/chart2.xml" /><Relationship Id="rId1" Type="http://schemas.openxmlformats.org/officeDocument/2006/relationships/chart" Target="../charts/chart1.xml" /><Relationship Id="rId4" Type="http://schemas.openxmlformats.org/officeDocument/2006/relationships/chart" Target="../charts/chart4.xml" 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 /><Relationship Id="rId7" Type="http://schemas.openxmlformats.org/officeDocument/2006/relationships/chart" Target="../charts/chart11.xml" /><Relationship Id="rId2" Type="http://schemas.openxmlformats.org/officeDocument/2006/relationships/chart" Target="../charts/chart6.xml" /><Relationship Id="rId1" Type="http://schemas.openxmlformats.org/officeDocument/2006/relationships/chart" Target="../charts/chart5.xml" /><Relationship Id="rId6" Type="http://schemas.openxmlformats.org/officeDocument/2006/relationships/chart" Target="../charts/chart10.xml" /><Relationship Id="rId5" Type="http://schemas.openxmlformats.org/officeDocument/2006/relationships/chart" Target="../charts/chart9.xml" /><Relationship Id="rId4" Type="http://schemas.openxmlformats.org/officeDocument/2006/relationships/chart" Target="../charts/chart8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403860</xdr:colOff>
      <xdr:row>11</xdr:row>
      <xdr:rowOff>144780</xdr:rowOff>
    </xdr:from>
    <xdr:to>
      <xdr:col>11</xdr:col>
      <xdr:colOff>243840</xdr:colOff>
      <xdr:row>29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A7B4D-2F75-7E1B-14FB-E4B4FFC7F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441706</xdr:colOff>
      <xdr:row>6</xdr:row>
      <xdr:rowOff>86898</xdr:rowOff>
    </xdr:from>
    <xdr:to>
      <xdr:col>18</xdr:col>
      <xdr:colOff>365505</xdr:colOff>
      <xdr:row>20</xdr:row>
      <xdr:rowOff>163098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8C583D-8764-550E-285A-DE8BA05F64B7}"/>
            </a:ext>
            <a:ext uri="{147F2762-F138-4A5C-976F-8EAC2B608ADB}">
              <a16:predDERef xmlns:a16="http://schemas.microsoft.com/office/drawing/2014/main" pred="{A42A7B4D-2F75-7E1B-14FB-E4B4FFC7F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11431</xdr:colOff>
      <xdr:row>9</xdr:row>
      <xdr:rowOff>14287</xdr:rowOff>
    </xdr:from>
    <xdr:to>
      <xdr:col>27</xdr:col>
      <xdr:colOff>82868</xdr:colOff>
      <xdr:row>24</xdr:row>
      <xdr:rowOff>145256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1DC2DA-D3B1-0308-E0F7-0B5EF5CB4258}"/>
            </a:ext>
            <a:ext uri="{147F2762-F138-4A5C-976F-8EAC2B608ADB}">
              <a16:predDERef xmlns:a16="http://schemas.microsoft.com/office/drawing/2014/main" pred="{4B8C583D-8764-550E-285A-DE8BA05F6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582945</xdr:colOff>
      <xdr:row>29</xdr:row>
      <xdr:rowOff>169087</xdr:rowOff>
    </xdr:from>
    <xdr:to>
      <xdr:col>11</xdr:col>
      <xdr:colOff>24735</xdr:colOff>
      <xdr:row>44</xdr:row>
      <xdr:rowOff>150037</xdr:rowOff>
    </xdr:to>
    <xdr:graphicFrame macro="">
      <xdr:nvGraphicFramePr>
        <xdr:cNvPr id="10" name="Chart 4">
          <a:extLst>
            <a:ext uri="{FF2B5EF4-FFF2-40B4-BE49-F238E27FC236}">
              <a16:creationId xmlns:a16="http://schemas.microsoft.com/office/drawing/2014/main" id="{2FF87EA6-3192-5A25-CBA1-07DC92D6A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71437</xdr:colOff>
      <xdr:row>21</xdr:row>
      <xdr:rowOff>171927</xdr:rowOff>
    </xdr:from>
    <xdr:to>
      <xdr:col>5</xdr:col>
      <xdr:colOff>654844</xdr:colOff>
      <xdr:row>37</xdr:row>
      <xdr:rowOff>95250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FFF0E686-DACE-A342-9C53-10C12E86D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952500</xdr:colOff>
      <xdr:row>8</xdr:row>
      <xdr:rowOff>190498</xdr:rowOff>
    </xdr:from>
    <xdr:to>
      <xdr:col>15</xdr:col>
      <xdr:colOff>285750</xdr:colOff>
      <xdr:row>20</xdr:row>
      <xdr:rowOff>107462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3B5EF10F-E1E9-B44C-A317-3E03A94E5DD5}"/>
            </a:ext>
            <a:ext uri="{147F2762-F138-4A5C-976F-8EAC2B608ADB}">
              <a16:predDERef xmlns:a16="http://schemas.microsoft.com/office/drawing/2014/main" pred="{FFF0E686-DACE-A342-9C53-10C12E86D8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61539</xdr:colOff>
      <xdr:row>8</xdr:row>
      <xdr:rowOff>189658</xdr:rowOff>
    </xdr:from>
    <xdr:to>
      <xdr:col>5</xdr:col>
      <xdr:colOff>619125</xdr:colOff>
      <xdr:row>20</xdr:row>
      <xdr:rowOff>107156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94C7D0-76EB-A849-B038-EC1AF8F2E199}"/>
            </a:ext>
            <a:ext uri="{147F2762-F138-4A5C-976F-8EAC2B608ADB}">
              <a16:predDERef xmlns:a16="http://schemas.microsoft.com/office/drawing/2014/main" pred="{3B5EF10F-E1E9-B44C-A317-3E03A94E5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966611</xdr:colOff>
      <xdr:row>21</xdr:row>
      <xdr:rowOff>178186</xdr:rowOff>
    </xdr:from>
    <xdr:to>
      <xdr:col>15</xdr:col>
      <xdr:colOff>301624</xdr:colOff>
      <xdr:row>37</xdr:row>
      <xdr:rowOff>94073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EBF4EAF-50E9-D687-224C-FF10468017B2}"/>
            </a:ext>
            <a:ext uri="{147F2762-F138-4A5C-976F-8EAC2B608ADB}">
              <a16:predDERef xmlns:a16="http://schemas.microsoft.com/office/drawing/2014/main" pred="{C194C7D0-76EB-A849-B038-EC1AF8F2E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86678</xdr:colOff>
      <xdr:row>38</xdr:row>
      <xdr:rowOff>238125</xdr:rowOff>
    </xdr:from>
    <xdr:to>
      <xdr:col>15</xdr:col>
      <xdr:colOff>274320</xdr:colOff>
      <xdr:row>55</xdr:row>
      <xdr:rowOff>0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FB93522C-286D-D70B-A9CB-422A8862A19C}"/>
            </a:ext>
            <a:ext uri="{147F2762-F138-4A5C-976F-8EAC2B608ADB}">
              <a16:predDERef xmlns:a16="http://schemas.microsoft.com/office/drawing/2014/main" pred="{EEBF4EAF-50E9-D687-224C-FF10468017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213360</xdr:colOff>
      <xdr:row>56</xdr:row>
      <xdr:rowOff>205740</xdr:rowOff>
    </xdr:from>
    <xdr:to>
      <xdr:col>15</xdr:col>
      <xdr:colOff>304800</xdr:colOff>
      <xdr:row>73</xdr:row>
      <xdr:rowOff>91440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535CE4A-D535-84A1-2487-B31E69C0F80A}"/>
            </a:ext>
            <a:ext uri="{147F2762-F138-4A5C-976F-8EAC2B608ADB}">
              <a16:predDERef xmlns:a16="http://schemas.microsoft.com/office/drawing/2014/main" pred="{FB93522C-286D-D70B-A9CB-422A8862A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56884</xdr:colOff>
      <xdr:row>56</xdr:row>
      <xdr:rowOff>178437</xdr:rowOff>
    </xdr:from>
    <xdr:to>
      <xdr:col>7</xdr:col>
      <xdr:colOff>342900</xdr:colOff>
      <xdr:row>73</xdr:row>
      <xdr:rowOff>114300</xdr:rowOff>
    </xdr:to>
    <xdr:graphicFrame macro="">
      <xdr:nvGraphicFramePr>
        <xdr:cNvPr id="11" name="Chart 5">
          <a:extLst>
            <a:ext uri="{FF2B5EF4-FFF2-40B4-BE49-F238E27FC236}">
              <a16:creationId xmlns:a16="http://schemas.microsoft.com/office/drawing/2014/main" id="{BD1B734A-3BCB-4DA0-814C-D2172C017C95}"/>
            </a:ext>
            <a:ext uri="{147F2762-F138-4A5C-976F-8EAC2B608ADB}">
              <a16:predDERef xmlns:a16="http://schemas.microsoft.com/office/drawing/2014/main" pred="{4535CE4A-D535-84A1-2487-B31E69C0F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topLeftCell="C1" workbookViewId="0">
      <pane ySplit="1" topLeftCell="C2" activePane="bottomLeft" state="frozen"/>
      <selection activeCell="B1" sqref="B1"/>
      <selection pane="bottomLeft" activeCell="I58" sqref="I58"/>
    </sheetView>
  </sheetViews>
  <sheetFormatPr defaultRowHeight="15" x14ac:dyDescent="0.2"/>
  <cols>
    <col min="1" max="1" width="10.4921875" customWidth="1"/>
    <col min="2" max="2" width="25.9609375" customWidth="1"/>
    <col min="3" max="3" width="18.0234375" customWidth="1"/>
    <col min="4" max="4" width="16.0078125" customWidth="1"/>
    <col min="5" max="5" width="14.9296875" customWidth="1"/>
    <col min="6" max="6" width="20.04296875" customWidth="1"/>
    <col min="7" max="7" width="14.9296875" customWidth="1"/>
    <col min="8" max="9" width="13.046875" customWidth="1"/>
    <col min="10" max="10" width="16.0078125" customWidth="1"/>
    <col min="11" max="11" width="13.98828125" customWidth="1"/>
    <col min="12" max="12" width="11.972656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>
        <v>6.5</v>
      </c>
      <c r="I2" t="s">
        <v>19</v>
      </c>
      <c r="J2" t="s">
        <v>20</v>
      </c>
      <c r="K2">
        <v>245</v>
      </c>
      <c r="L2" t="s">
        <v>21</v>
      </c>
    </row>
    <row r="3" spans="1:12" x14ac:dyDescent="0.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7.2</v>
      </c>
      <c r="I3" t="s">
        <v>19</v>
      </c>
      <c r="J3" t="s">
        <v>29</v>
      </c>
      <c r="K3">
        <v>189</v>
      </c>
      <c r="L3" t="s">
        <v>21</v>
      </c>
    </row>
    <row r="4" spans="1:12" x14ac:dyDescent="0.2">
      <c r="A4" t="s">
        <v>30</v>
      </c>
      <c r="B4" t="s">
        <v>31</v>
      </c>
      <c r="C4" t="s">
        <v>32</v>
      </c>
      <c r="D4" t="s">
        <v>33</v>
      </c>
      <c r="E4" t="s">
        <v>26</v>
      </c>
      <c r="F4" t="s">
        <v>34</v>
      </c>
      <c r="G4" t="s">
        <v>18</v>
      </c>
      <c r="H4">
        <v>8</v>
      </c>
      <c r="I4" t="s">
        <v>19</v>
      </c>
      <c r="J4" t="s">
        <v>35</v>
      </c>
      <c r="K4">
        <v>210</v>
      </c>
      <c r="L4" t="s">
        <v>21</v>
      </c>
    </row>
    <row r="5" spans="1:12" x14ac:dyDescent="0.2">
      <c r="A5" t="s">
        <v>36</v>
      </c>
      <c r="B5" t="s">
        <v>37</v>
      </c>
      <c r="C5" t="s">
        <v>38</v>
      </c>
      <c r="D5" t="s">
        <v>15</v>
      </c>
      <c r="E5" t="s">
        <v>39</v>
      </c>
      <c r="F5" t="s">
        <v>40</v>
      </c>
      <c r="G5" t="s">
        <v>41</v>
      </c>
      <c r="H5">
        <v>12.5</v>
      </c>
      <c r="I5" t="s">
        <v>19</v>
      </c>
      <c r="J5" t="s">
        <v>42</v>
      </c>
      <c r="K5">
        <v>156</v>
      </c>
      <c r="L5" t="s">
        <v>21</v>
      </c>
    </row>
    <row r="6" spans="1:12" x14ac:dyDescent="0.2">
      <c r="A6" t="s">
        <v>43</v>
      </c>
      <c r="B6" t="s">
        <v>44</v>
      </c>
      <c r="C6" t="s">
        <v>45</v>
      </c>
      <c r="D6" t="s">
        <v>46</v>
      </c>
      <c r="E6" t="s">
        <v>16</v>
      </c>
      <c r="F6" t="s">
        <v>47</v>
      </c>
      <c r="G6" t="s">
        <v>48</v>
      </c>
      <c r="H6">
        <v>6.8</v>
      </c>
      <c r="I6" t="s">
        <v>19</v>
      </c>
      <c r="J6" t="s">
        <v>49</v>
      </c>
      <c r="K6">
        <v>178</v>
      </c>
      <c r="L6" t="s">
        <v>50</v>
      </c>
    </row>
    <row r="7" spans="1:12" x14ac:dyDescent="0.2">
      <c r="A7" t="s">
        <v>51</v>
      </c>
      <c r="B7" t="s">
        <v>52</v>
      </c>
      <c r="C7" t="s">
        <v>53</v>
      </c>
      <c r="D7" t="s">
        <v>25</v>
      </c>
      <c r="E7" t="s">
        <v>39</v>
      </c>
      <c r="F7" t="s">
        <v>34</v>
      </c>
      <c r="G7" t="s">
        <v>18</v>
      </c>
      <c r="H7">
        <v>9.5</v>
      </c>
      <c r="I7" t="s">
        <v>19</v>
      </c>
      <c r="J7" t="s">
        <v>54</v>
      </c>
      <c r="K7">
        <v>220</v>
      </c>
      <c r="L7" t="s">
        <v>21</v>
      </c>
    </row>
    <row r="8" spans="1:12" x14ac:dyDescent="0.2">
      <c r="A8" t="s">
        <v>55</v>
      </c>
      <c r="B8" t="s">
        <v>56</v>
      </c>
      <c r="C8" t="s">
        <v>57</v>
      </c>
      <c r="D8" t="s">
        <v>15</v>
      </c>
      <c r="E8" t="s">
        <v>58</v>
      </c>
      <c r="F8" t="s">
        <v>34</v>
      </c>
      <c r="G8" t="s">
        <v>28</v>
      </c>
      <c r="H8">
        <v>14</v>
      </c>
      <c r="I8" t="s">
        <v>19</v>
      </c>
      <c r="J8" t="s">
        <v>59</v>
      </c>
      <c r="K8">
        <v>134</v>
      </c>
      <c r="L8" t="s">
        <v>21</v>
      </c>
    </row>
    <row r="9" spans="1:12" x14ac:dyDescent="0.2">
      <c r="A9" t="s">
        <v>60</v>
      </c>
      <c r="B9" t="s">
        <v>61</v>
      </c>
      <c r="C9" t="s">
        <v>62</v>
      </c>
      <c r="D9" t="s">
        <v>33</v>
      </c>
      <c r="E9" t="s">
        <v>16</v>
      </c>
      <c r="F9" t="s">
        <v>63</v>
      </c>
      <c r="G9" t="s">
        <v>18</v>
      </c>
      <c r="H9">
        <v>5.8</v>
      </c>
      <c r="I9" t="s">
        <v>19</v>
      </c>
      <c r="J9" t="s">
        <v>64</v>
      </c>
      <c r="K9">
        <v>267</v>
      </c>
      <c r="L9" t="s">
        <v>21</v>
      </c>
    </row>
    <row r="10" spans="1:12" x14ac:dyDescent="0.2">
      <c r="A10" t="s">
        <v>65</v>
      </c>
      <c r="B10" t="s">
        <v>66</v>
      </c>
      <c r="C10" t="s">
        <v>14</v>
      </c>
      <c r="D10" t="s">
        <v>46</v>
      </c>
      <c r="E10" t="s">
        <v>26</v>
      </c>
      <c r="F10" t="s">
        <v>17</v>
      </c>
      <c r="G10" t="s">
        <v>18</v>
      </c>
      <c r="H10">
        <v>8.1999999999999993</v>
      </c>
      <c r="I10" t="s">
        <v>19</v>
      </c>
      <c r="J10" t="s">
        <v>67</v>
      </c>
      <c r="K10">
        <v>198</v>
      </c>
      <c r="L10" t="s">
        <v>21</v>
      </c>
    </row>
    <row r="11" spans="1:12" x14ac:dyDescent="0.2">
      <c r="A11" t="s">
        <v>68</v>
      </c>
      <c r="B11" t="s">
        <v>69</v>
      </c>
      <c r="C11" t="s">
        <v>53</v>
      </c>
      <c r="D11" t="s">
        <v>15</v>
      </c>
      <c r="E11" t="s">
        <v>39</v>
      </c>
      <c r="F11" t="s">
        <v>70</v>
      </c>
      <c r="G11" t="s">
        <v>71</v>
      </c>
      <c r="H11">
        <v>11.5</v>
      </c>
      <c r="I11" t="s">
        <v>19</v>
      </c>
      <c r="J11" t="s">
        <v>72</v>
      </c>
      <c r="K11">
        <v>145</v>
      </c>
      <c r="L11" t="s">
        <v>21</v>
      </c>
    </row>
    <row r="12" spans="1:12" x14ac:dyDescent="0.2">
      <c r="A12" t="s">
        <v>73</v>
      </c>
      <c r="B12" t="s">
        <v>13</v>
      </c>
      <c r="C12" t="s">
        <v>74</v>
      </c>
      <c r="D12" t="s">
        <v>75</v>
      </c>
      <c r="E12" t="s">
        <v>16</v>
      </c>
      <c r="F12" t="s">
        <v>76</v>
      </c>
      <c r="G12" t="s">
        <v>18</v>
      </c>
      <c r="H12">
        <v>5.5</v>
      </c>
      <c r="I12" t="s">
        <v>19</v>
      </c>
      <c r="J12" t="s">
        <v>77</v>
      </c>
      <c r="K12">
        <v>289</v>
      </c>
      <c r="L12" t="s">
        <v>21</v>
      </c>
    </row>
    <row r="13" spans="1:12" x14ac:dyDescent="0.2">
      <c r="A13" t="s">
        <v>78</v>
      </c>
      <c r="B13" t="s">
        <v>79</v>
      </c>
      <c r="C13" t="s">
        <v>80</v>
      </c>
      <c r="D13" t="s">
        <v>81</v>
      </c>
      <c r="E13" t="s">
        <v>26</v>
      </c>
      <c r="F13" t="s">
        <v>82</v>
      </c>
      <c r="G13" t="s">
        <v>28</v>
      </c>
      <c r="H13">
        <v>7.8</v>
      </c>
      <c r="I13" t="s">
        <v>19</v>
      </c>
      <c r="J13" t="s">
        <v>83</v>
      </c>
      <c r="K13">
        <v>176</v>
      </c>
      <c r="L13" t="s">
        <v>21</v>
      </c>
    </row>
    <row r="14" spans="1:12" x14ac:dyDescent="0.2">
      <c r="A14" t="s">
        <v>84</v>
      </c>
      <c r="B14" t="s">
        <v>85</v>
      </c>
      <c r="C14" t="s">
        <v>38</v>
      </c>
      <c r="D14" t="s">
        <v>15</v>
      </c>
      <c r="E14" t="s">
        <v>58</v>
      </c>
      <c r="F14" t="s">
        <v>86</v>
      </c>
      <c r="G14" t="s">
        <v>41</v>
      </c>
      <c r="H14">
        <v>15.5</v>
      </c>
      <c r="I14" t="s">
        <v>19</v>
      </c>
      <c r="J14" t="s">
        <v>87</v>
      </c>
      <c r="K14">
        <v>121</v>
      </c>
      <c r="L14" t="s">
        <v>21</v>
      </c>
    </row>
    <row r="15" spans="1:12" x14ac:dyDescent="0.2">
      <c r="A15" t="s">
        <v>88</v>
      </c>
      <c r="B15" t="s">
        <v>89</v>
      </c>
      <c r="C15" t="s">
        <v>90</v>
      </c>
      <c r="D15" t="s">
        <v>33</v>
      </c>
      <c r="E15" t="s">
        <v>26</v>
      </c>
      <c r="F15" t="s">
        <v>91</v>
      </c>
      <c r="G15" t="s">
        <v>92</v>
      </c>
      <c r="H15">
        <v>6.2</v>
      </c>
      <c r="I15" t="s">
        <v>19</v>
      </c>
      <c r="J15" t="s">
        <v>93</v>
      </c>
      <c r="K15">
        <v>232</v>
      </c>
      <c r="L15" t="s">
        <v>21</v>
      </c>
    </row>
    <row r="16" spans="1:12" x14ac:dyDescent="0.2">
      <c r="A16" t="s">
        <v>94</v>
      </c>
      <c r="B16" t="s">
        <v>95</v>
      </c>
      <c r="C16" t="s">
        <v>24</v>
      </c>
      <c r="D16" t="s">
        <v>25</v>
      </c>
      <c r="E16" t="s">
        <v>39</v>
      </c>
      <c r="F16" t="s">
        <v>27</v>
      </c>
      <c r="G16" t="s">
        <v>96</v>
      </c>
      <c r="H16">
        <v>9</v>
      </c>
      <c r="I16" t="s">
        <v>19</v>
      </c>
      <c r="J16" t="s">
        <v>97</v>
      </c>
      <c r="K16">
        <v>167</v>
      </c>
      <c r="L16" t="s">
        <v>50</v>
      </c>
    </row>
    <row r="17" spans="1:12" x14ac:dyDescent="0.2">
      <c r="A17" t="s">
        <v>98</v>
      </c>
      <c r="B17" t="s">
        <v>99</v>
      </c>
      <c r="C17" t="s">
        <v>53</v>
      </c>
      <c r="D17" t="s">
        <v>46</v>
      </c>
      <c r="E17" t="s">
        <v>58</v>
      </c>
      <c r="F17" t="s">
        <v>100</v>
      </c>
      <c r="G17" t="s">
        <v>71</v>
      </c>
      <c r="H17">
        <v>12</v>
      </c>
      <c r="I17" t="s">
        <v>19</v>
      </c>
      <c r="J17" t="s">
        <v>101</v>
      </c>
      <c r="K17">
        <v>143</v>
      </c>
      <c r="L17" t="s">
        <v>21</v>
      </c>
    </row>
    <row r="18" spans="1:12" x14ac:dyDescent="0.2">
      <c r="A18" t="s">
        <v>102</v>
      </c>
      <c r="B18" t="s">
        <v>103</v>
      </c>
      <c r="C18" t="s">
        <v>74</v>
      </c>
      <c r="D18" t="s">
        <v>15</v>
      </c>
      <c r="E18" t="s">
        <v>16</v>
      </c>
      <c r="F18" t="s">
        <v>17</v>
      </c>
      <c r="G18" t="s">
        <v>18</v>
      </c>
      <c r="H18">
        <v>6</v>
      </c>
      <c r="I18" t="s">
        <v>19</v>
      </c>
      <c r="J18" t="s">
        <v>104</v>
      </c>
      <c r="K18">
        <v>310</v>
      </c>
      <c r="L18" t="s">
        <v>21</v>
      </c>
    </row>
    <row r="19" spans="1:12" x14ac:dyDescent="0.2">
      <c r="A19" t="s">
        <v>105</v>
      </c>
      <c r="B19" t="s">
        <v>23</v>
      </c>
      <c r="C19" t="s">
        <v>57</v>
      </c>
      <c r="D19" t="s">
        <v>81</v>
      </c>
      <c r="E19" t="s">
        <v>26</v>
      </c>
      <c r="F19" t="s">
        <v>106</v>
      </c>
      <c r="G19" t="s">
        <v>28</v>
      </c>
      <c r="H19">
        <v>8.5</v>
      </c>
      <c r="I19" t="s">
        <v>19</v>
      </c>
      <c r="J19" t="s">
        <v>107</v>
      </c>
      <c r="K19">
        <v>201</v>
      </c>
      <c r="L19" t="s">
        <v>21</v>
      </c>
    </row>
    <row r="20" spans="1:12" x14ac:dyDescent="0.2">
      <c r="A20" t="s">
        <v>108</v>
      </c>
      <c r="B20" t="s">
        <v>109</v>
      </c>
      <c r="C20" t="s">
        <v>38</v>
      </c>
      <c r="D20" t="s">
        <v>25</v>
      </c>
      <c r="E20" t="s">
        <v>39</v>
      </c>
      <c r="F20" t="s">
        <v>40</v>
      </c>
      <c r="G20" t="s">
        <v>41</v>
      </c>
      <c r="H20">
        <v>11.8</v>
      </c>
      <c r="I20" t="s">
        <v>19</v>
      </c>
      <c r="J20" t="s">
        <v>110</v>
      </c>
      <c r="K20">
        <v>155</v>
      </c>
      <c r="L20" t="s">
        <v>21</v>
      </c>
    </row>
    <row r="21" spans="1:12" x14ac:dyDescent="0.2">
      <c r="A21" t="s">
        <v>111</v>
      </c>
      <c r="B21" t="s">
        <v>112</v>
      </c>
      <c r="C21" t="s">
        <v>45</v>
      </c>
      <c r="D21" t="s">
        <v>46</v>
      </c>
      <c r="E21" t="s">
        <v>26</v>
      </c>
      <c r="F21" t="s">
        <v>113</v>
      </c>
      <c r="G21" t="s">
        <v>48</v>
      </c>
      <c r="H21">
        <v>7</v>
      </c>
      <c r="I21" t="s">
        <v>19</v>
      </c>
      <c r="J21" t="s">
        <v>114</v>
      </c>
      <c r="K21">
        <v>188</v>
      </c>
      <c r="L21" t="s">
        <v>50</v>
      </c>
    </row>
    <row r="22" spans="1:12" x14ac:dyDescent="0.2">
      <c r="A22" t="s">
        <v>115</v>
      </c>
      <c r="B22" t="s">
        <v>52</v>
      </c>
      <c r="C22" t="s">
        <v>14</v>
      </c>
      <c r="D22" t="s">
        <v>33</v>
      </c>
      <c r="E22" t="s">
        <v>39</v>
      </c>
      <c r="F22" t="s">
        <v>76</v>
      </c>
      <c r="G22" t="s">
        <v>18</v>
      </c>
      <c r="H22">
        <v>9.1999999999999993</v>
      </c>
      <c r="I22" t="s">
        <v>19</v>
      </c>
      <c r="J22" t="s">
        <v>116</v>
      </c>
      <c r="K22">
        <v>214</v>
      </c>
      <c r="L22" t="s">
        <v>21</v>
      </c>
    </row>
    <row r="23" spans="1:12" x14ac:dyDescent="0.2">
      <c r="A23" t="s">
        <v>117</v>
      </c>
      <c r="B23" t="s">
        <v>56</v>
      </c>
      <c r="C23" t="s">
        <v>24</v>
      </c>
      <c r="D23" t="s">
        <v>15</v>
      </c>
      <c r="E23" t="s">
        <v>58</v>
      </c>
      <c r="F23" t="s">
        <v>34</v>
      </c>
      <c r="G23" t="s">
        <v>28</v>
      </c>
      <c r="H23">
        <v>13.8</v>
      </c>
      <c r="I23" t="s">
        <v>19</v>
      </c>
      <c r="J23" t="s">
        <v>118</v>
      </c>
      <c r="K23">
        <v>128</v>
      </c>
      <c r="L23" t="s">
        <v>21</v>
      </c>
    </row>
    <row r="24" spans="1:12" x14ac:dyDescent="0.2">
      <c r="A24" t="s">
        <v>119</v>
      </c>
      <c r="B24" t="s">
        <v>61</v>
      </c>
      <c r="C24" t="s">
        <v>62</v>
      </c>
      <c r="D24" t="s">
        <v>25</v>
      </c>
      <c r="E24" t="s">
        <v>16</v>
      </c>
      <c r="F24" t="s">
        <v>63</v>
      </c>
      <c r="G24" t="s">
        <v>18</v>
      </c>
      <c r="H24">
        <v>5.7</v>
      </c>
      <c r="I24" t="s">
        <v>19</v>
      </c>
      <c r="J24" t="s">
        <v>120</v>
      </c>
      <c r="K24">
        <v>275</v>
      </c>
      <c r="L24" t="s">
        <v>21</v>
      </c>
    </row>
    <row r="25" spans="1:12" x14ac:dyDescent="0.2">
      <c r="A25" t="s">
        <v>121</v>
      </c>
      <c r="B25" t="s">
        <v>69</v>
      </c>
      <c r="C25" t="s">
        <v>53</v>
      </c>
      <c r="D25" t="s">
        <v>81</v>
      </c>
      <c r="E25" t="s">
        <v>39</v>
      </c>
      <c r="F25" t="s">
        <v>70</v>
      </c>
      <c r="G25" t="s">
        <v>71</v>
      </c>
      <c r="H25">
        <v>10.8</v>
      </c>
      <c r="I25" t="s">
        <v>19</v>
      </c>
      <c r="J25" t="s">
        <v>122</v>
      </c>
      <c r="K25">
        <v>162</v>
      </c>
      <c r="L25" t="s">
        <v>21</v>
      </c>
    </row>
    <row r="26" spans="1:12" x14ac:dyDescent="0.2">
      <c r="A26" t="s">
        <v>123</v>
      </c>
      <c r="B26" t="s">
        <v>44</v>
      </c>
      <c r="C26" t="s">
        <v>45</v>
      </c>
      <c r="D26" t="s">
        <v>15</v>
      </c>
      <c r="E26" t="s">
        <v>26</v>
      </c>
      <c r="F26" t="s">
        <v>47</v>
      </c>
      <c r="G26" t="s">
        <v>48</v>
      </c>
      <c r="H26">
        <v>8.1999999999999993</v>
      </c>
      <c r="I26" t="s">
        <v>19</v>
      </c>
      <c r="J26" t="s">
        <v>124</v>
      </c>
      <c r="K26">
        <v>193</v>
      </c>
      <c r="L26" t="s">
        <v>21</v>
      </c>
    </row>
    <row r="27" spans="1:12" x14ac:dyDescent="0.2">
      <c r="A27" t="s">
        <v>125</v>
      </c>
      <c r="B27" t="s">
        <v>31</v>
      </c>
      <c r="C27" t="s">
        <v>32</v>
      </c>
      <c r="D27" t="s">
        <v>46</v>
      </c>
      <c r="E27" t="s">
        <v>16</v>
      </c>
      <c r="F27" t="s">
        <v>34</v>
      </c>
      <c r="G27" t="s">
        <v>18</v>
      </c>
      <c r="H27">
        <v>6.3</v>
      </c>
      <c r="I27" t="s">
        <v>19</v>
      </c>
      <c r="J27" t="s">
        <v>126</v>
      </c>
      <c r="K27">
        <v>301</v>
      </c>
      <c r="L27" t="s">
        <v>21</v>
      </c>
    </row>
    <row r="28" spans="1:12" x14ac:dyDescent="0.2">
      <c r="A28" t="s">
        <v>127</v>
      </c>
      <c r="B28" t="s">
        <v>79</v>
      </c>
      <c r="C28" t="s">
        <v>80</v>
      </c>
      <c r="D28" t="s">
        <v>33</v>
      </c>
      <c r="E28" t="s">
        <v>39</v>
      </c>
      <c r="F28" t="s">
        <v>82</v>
      </c>
      <c r="G28" t="s">
        <v>28</v>
      </c>
      <c r="H28">
        <v>8.1</v>
      </c>
      <c r="I28" t="s">
        <v>19</v>
      </c>
      <c r="J28" t="s">
        <v>128</v>
      </c>
      <c r="K28">
        <v>184</v>
      </c>
      <c r="L28" t="s">
        <v>21</v>
      </c>
    </row>
    <row r="29" spans="1:12" x14ac:dyDescent="0.2">
      <c r="A29" t="s">
        <v>129</v>
      </c>
      <c r="B29" t="s">
        <v>85</v>
      </c>
      <c r="C29" t="s">
        <v>38</v>
      </c>
      <c r="D29" t="s">
        <v>25</v>
      </c>
      <c r="E29" t="s">
        <v>58</v>
      </c>
      <c r="F29" t="s">
        <v>86</v>
      </c>
      <c r="G29" t="s">
        <v>41</v>
      </c>
      <c r="H29">
        <v>14.8</v>
      </c>
      <c r="I29" t="s">
        <v>19</v>
      </c>
      <c r="J29" t="s">
        <v>130</v>
      </c>
      <c r="K29">
        <v>119</v>
      </c>
      <c r="L29" t="s">
        <v>21</v>
      </c>
    </row>
    <row r="30" spans="1:12" x14ac:dyDescent="0.2">
      <c r="A30" t="s">
        <v>131</v>
      </c>
      <c r="B30" t="s">
        <v>89</v>
      </c>
      <c r="C30" t="s">
        <v>90</v>
      </c>
      <c r="D30" t="s">
        <v>15</v>
      </c>
      <c r="E30" t="s">
        <v>16</v>
      </c>
      <c r="F30" t="s">
        <v>91</v>
      </c>
      <c r="G30" t="s">
        <v>92</v>
      </c>
      <c r="H30">
        <v>5.9</v>
      </c>
      <c r="I30" t="s">
        <v>19</v>
      </c>
      <c r="J30" t="s">
        <v>132</v>
      </c>
      <c r="K30">
        <v>246</v>
      </c>
      <c r="L30" t="s">
        <v>50</v>
      </c>
    </row>
    <row r="31" spans="1:12" x14ac:dyDescent="0.2">
      <c r="A31" t="s">
        <v>133</v>
      </c>
      <c r="B31" t="s">
        <v>66</v>
      </c>
      <c r="C31" t="s">
        <v>14</v>
      </c>
      <c r="D31" t="s">
        <v>75</v>
      </c>
      <c r="E31" t="s">
        <v>26</v>
      </c>
      <c r="F31" t="s">
        <v>17</v>
      </c>
      <c r="G31" t="s">
        <v>18</v>
      </c>
      <c r="H31">
        <v>7.9</v>
      </c>
      <c r="I31" t="s">
        <v>19</v>
      </c>
      <c r="J31" t="s">
        <v>134</v>
      </c>
      <c r="K31">
        <v>221</v>
      </c>
      <c r="L31" t="s">
        <v>21</v>
      </c>
    </row>
    <row r="32" spans="1:12" x14ac:dyDescent="0.2">
      <c r="A32" t="s">
        <v>135</v>
      </c>
      <c r="B32" t="s">
        <v>13</v>
      </c>
      <c r="C32" t="s">
        <v>74</v>
      </c>
      <c r="D32" t="s">
        <v>25</v>
      </c>
      <c r="E32" t="s">
        <v>16</v>
      </c>
      <c r="F32" t="s">
        <v>136</v>
      </c>
      <c r="G32" t="s">
        <v>18</v>
      </c>
      <c r="H32">
        <v>5.2</v>
      </c>
      <c r="I32" t="s">
        <v>19</v>
      </c>
      <c r="J32" t="s">
        <v>137</v>
      </c>
      <c r="K32">
        <v>325</v>
      </c>
      <c r="L32" t="s">
        <v>21</v>
      </c>
    </row>
    <row r="33" spans="1:12" x14ac:dyDescent="0.2">
      <c r="A33" t="s">
        <v>138</v>
      </c>
      <c r="B33" t="s">
        <v>23</v>
      </c>
      <c r="C33" t="s">
        <v>57</v>
      </c>
      <c r="D33" t="s">
        <v>46</v>
      </c>
      <c r="E33" t="s">
        <v>26</v>
      </c>
      <c r="F33" t="s">
        <v>27</v>
      </c>
      <c r="G33" t="s">
        <v>28</v>
      </c>
      <c r="H33">
        <v>7.5</v>
      </c>
      <c r="I33" t="s">
        <v>19</v>
      </c>
      <c r="J33" t="s">
        <v>139</v>
      </c>
      <c r="K33">
        <v>207</v>
      </c>
      <c r="L33" t="s">
        <v>21</v>
      </c>
    </row>
    <row r="34" spans="1:12" x14ac:dyDescent="0.2">
      <c r="A34" t="s">
        <v>140</v>
      </c>
      <c r="B34" t="s">
        <v>37</v>
      </c>
      <c r="C34" t="s">
        <v>38</v>
      </c>
      <c r="D34" t="s">
        <v>33</v>
      </c>
      <c r="E34" t="s">
        <v>39</v>
      </c>
      <c r="F34" t="s">
        <v>40</v>
      </c>
      <c r="G34" t="s">
        <v>41</v>
      </c>
      <c r="H34">
        <v>12.2</v>
      </c>
      <c r="I34" t="s">
        <v>19</v>
      </c>
      <c r="J34" t="s">
        <v>141</v>
      </c>
      <c r="K34">
        <v>148</v>
      </c>
      <c r="L34" t="s">
        <v>21</v>
      </c>
    </row>
    <row r="35" spans="1:12" x14ac:dyDescent="0.2">
      <c r="A35" t="s">
        <v>142</v>
      </c>
      <c r="B35" t="s">
        <v>99</v>
      </c>
      <c r="C35" t="s">
        <v>53</v>
      </c>
      <c r="D35" t="s">
        <v>15</v>
      </c>
      <c r="E35" t="s">
        <v>58</v>
      </c>
      <c r="F35" t="s">
        <v>100</v>
      </c>
      <c r="G35" t="s">
        <v>71</v>
      </c>
      <c r="H35">
        <v>11.7</v>
      </c>
      <c r="I35" t="s">
        <v>19</v>
      </c>
      <c r="J35" t="s">
        <v>143</v>
      </c>
      <c r="K35">
        <v>137</v>
      </c>
      <c r="L35" t="s">
        <v>21</v>
      </c>
    </row>
    <row r="36" spans="1:12" x14ac:dyDescent="0.2">
      <c r="A36" t="s">
        <v>144</v>
      </c>
      <c r="B36" t="s">
        <v>103</v>
      </c>
      <c r="C36" t="s">
        <v>32</v>
      </c>
      <c r="D36" t="s">
        <v>25</v>
      </c>
      <c r="E36" t="s">
        <v>26</v>
      </c>
      <c r="F36" t="s">
        <v>17</v>
      </c>
      <c r="G36" t="s">
        <v>18</v>
      </c>
      <c r="H36">
        <v>7.6</v>
      </c>
      <c r="I36" t="s">
        <v>19</v>
      </c>
      <c r="J36" t="s">
        <v>145</v>
      </c>
      <c r="K36">
        <v>254</v>
      </c>
      <c r="L36" t="s">
        <v>21</v>
      </c>
    </row>
    <row r="37" spans="1:12" x14ac:dyDescent="0.2">
      <c r="A37" t="s">
        <v>146</v>
      </c>
      <c r="B37" t="s">
        <v>56</v>
      </c>
      <c r="C37" t="s">
        <v>24</v>
      </c>
      <c r="D37" t="s">
        <v>81</v>
      </c>
      <c r="E37" t="s">
        <v>58</v>
      </c>
      <c r="F37" t="s">
        <v>34</v>
      </c>
      <c r="G37" t="s">
        <v>28</v>
      </c>
      <c r="H37">
        <v>13.2</v>
      </c>
      <c r="I37" t="s">
        <v>19</v>
      </c>
      <c r="J37" t="s">
        <v>147</v>
      </c>
      <c r="K37">
        <v>126</v>
      </c>
      <c r="L37" t="s">
        <v>21</v>
      </c>
    </row>
    <row r="38" spans="1:12" x14ac:dyDescent="0.2">
      <c r="A38" t="s">
        <v>148</v>
      </c>
      <c r="B38" t="s">
        <v>69</v>
      </c>
      <c r="C38" t="s">
        <v>53</v>
      </c>
      <c r="D38" t="s">
        <v>33</v>
      </c>
      <c r="E38" t="s">
        <v>39</v>
      </c>
      <c r="F38" t="s">
        <v>70</v>
      </c>
      <c r="G38" t="s">
        <v>71</v>
      </c>
      <c r="H38">
        <v>10.5</v>
      </c>
      <c r="I38" t="s">
        <v>19</v>
      </c>
      <c r="J38" t="s">
        <v>149</v>
      </c>
      <c r="K38">
        <v>171</v>
      </c>
      <c r="L38" t="s">
        <v>21</v>
      </c>
    </row>
    <row r="39" spans="1:12" x14ac:dyDescent="0.2">
      <c r="A39" t="s">
        <v>150</v>
      </c>
      <c r="B39" t="s">
        <v>44</v>
      </c>
      <c r="C39" t="s">
        <v>45</v>
      </c>
      <c r="D39" t="s">
        <v>15</v>
      </c>
      <c r="E39" t="s">
        <v>39</v>
      </c>
      <c r="F39" t="s">
        <v>47</v>
      </c>
      <c r="G39" t="s">
        <v>48</v>
      </c>
      <c r="H39">
        <v>9.3000000000000007</v>
      </c>
      <c r="I39" t="s">
        <v>19</v>
      </c>
      <c r="J39" t="s">
        <v>151</v>
      </c>
      <c r="K39">
        <v>165</v>
      </c>
      <c r="L39" t="s">
        <v>21</v>
      </c>
    </row>
    <row r="40" spans="1:12" x14ac:dyDescent="0.2">
      <c r="A40" t="s">
        <v>152</v>
      </c>
      <c r="B40" t="s">
        <v>61</v>
      </c>
      <c r="C40" t="s">
        <v>62</v>
      </c>
      <c r="D40" t="s">
        <v>46</v>
      </c>
      <c r="E40" t="s">
        <v>16</v>
      </c>
      <c r="F40" t="s">
        <v>63</v>
      </c>
      <c r="G40" t="s">
        <v>18</v>
      </c>
      <c r="H40">
        <v>5.6</v>
      </c>
      <c r="I40" t="s">
        <v>19</v>
      </c>
      <c r="J40" t="s">
        <v>153</v>
      </c>
      <c r="K40">
        <v>287</v>
      </c>
      <c r="L40" t="s">
        <v>21</v>
      </c>
    </row>
    <row r="41" spans="1:12" x14ac:dyDescent="0.2">
      <c r="A41" t="s">
        <v>154</v>
      </c>
      <c r="B41" t="s">
        <v>79</v>
      </c>
      <c r="C41" t="s">
        <v>80</v>
      </c>
      <c r="D41" t="s">
        <v>15</v>
      </c>
      <c r="E41" t="s">
        <v>26</v>
      </c>
      <c r="F41" t="s">
        <v>106</v>
      </c>
      <c r="G41" t="s">
        <v>28</v>
      </c>
      <c r="H41">
        <v>8.3000000000000007</v>
      </c>
      <c r="I41" t="s">
        <v>19</v>
      </c>
      <c r="J41" t="s">
        <v>155</v>
      </c>
      <c r="K41">
        <v>192</v>
      </c>
      <c r="L41" t="s">
        <v>21</v>
      </c>
    </row>
    <row r="42" spans="1:12" x14ac:dyDescent="0.2">
      <c r="I42">
        <f>AVERAGE(H2:H41)</f>
        <v>9.0274999999999999</v>
      </c>
      <c r="K42">
        <f>SUM(K2:K41)</f>
        <v>7979</v>
      </c>
    </row>
  </sheetData>
  <autoFilter ref="A1:L41" xr:uid="{00000000-0001-0000-0000-000000000000}">
    <sortState xmlns:xlrd2="http://schemas.microsoft.com/office/spreadsheetml/2017/richdata2" ref="A2:L41">
      <sortCondition ref="A1:A4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8"/>
  <sheetViews>
    <sheetView topLeftCell="A3" workbookViewId="0">
      <selection activeCell="A33" sqref="A33"/>
    </sheetView>
  </sheetViews>
  <sheetFormatPr defaultRowHeight="15" x14ac:dyDescent="0.2"/>
  <cols>
    <col min="1" max="1" width="18.5625" customWidth="1"/>
    <col min="2" max="2" width="16.140625" customWidth="1"/>
    <col min="4" max="4" width="12.10546875" customWidth="1"/>
    <col min="5" max="5" width="15.33203125" customWidth="1"/>
    <col min="7" max="7" width="9.953125" customWidth="1"/>
    <col min="8" max="8" width="13.44921875" customWidth="1"/>
    <col min="14" max="14" width="13.98828125" customWidth="1"/>
    <col min="22" max="22" width="11.56640625" customWidth="1"/>
  </cols>
  <sheetData>
    <row r="1" spans="1:24" x14ac:dyDescent="0.2">
      <c r="A1" t="s">
        <v>156</v>
      </c>
      <c r="B1" t="s">
        <v>157</v>
      </c>
      <c r="D1" t="s">
        <v>2</v>
      </c>
      <c r="E1" t="s">
        <v>157</v>
      </c>
      <c r="G1" t="s">
        <v>3</v>
      </c>
      <c r="H1" t="s">
        <v>157</v>
      </c>
      <c r="J1" t="s">
        <v>11</v>
      </c>
      <c r="K1" t="s">
        <v>158</v>
      </c>
      <c r="V1" t="s">
        <v>3</v>
      </c>
      <c r="W1" t="s">
        <v>21</v>
      </c>
      <c r="X1" t="s">
        <v>50</v>
      </c>
    </row>
    <row r="2" spans="1:24" x14ac:dyDescent="0.2">
      <c r="A2" t="s">
        <v>13</v>
      </c>
      <c r="B2">
        <f>COUNTIF(Raw_Data!B:B,A2)</f>
        <v>3</v>
      </c>
      <c r="D2" t="s">
        <v>14</v>
      </c>
      <c r="E2">
        <f>COUNTIF(Raw_Data!C:C,D2)</f>
        <v>4</v>
      </c>
      <c r="G2" t="s">
        <v>15</v>
      </c>
      <c r="H2">
        <f>COUNTIF(Raw_Data!D:D,G2)</f>
        <v>12</v>
      </c>
      <c r="J2" t="s">
        <v>159</v>
      </c>
      <c r="K2">
        <v>36</v>
      </c>
      <c r="V2" t="s">
        <v>15</v>
      </c>
      <c r="W2">
        <f>COUNTIFS(Raw_Data!D:D,V2,Raw_Data!L:L,"Open")</f>
        <v>11</v>
      </c>
      <c r="X2">
        <f>COUNTIFS(Raw_Data!D:D,V2,Raw_Data!L:L,"Closed")</f>
        <v>1</v>
      </c>
    </row>
    <row r="3" spans="1:24" x14ac:dyDescent="0.2">
      <c r="A3" t="s">
        <v>23</v>
      </c>
      <c r="B3">
        <f>COUNTIF(Raw_Data!B:B,A3)</f>
        <v>3</v>
      </c>
      <c r="D3" t="s">
        <v>24</v>
      </c>
      <c r="E3">
        <f>COUNTIF(Raw_Data!C:C,D3)</f>
        <v>4</v>
      </c>
      <c r="G3" t="s">
        <v>75</v>
      </c>
      <c r="H3">
        <f>COUNTIF(Raw_Data!D:D,G3)</f>
        <v>2</v>
      </c>
      <c r="J3" t="s">
        <v>160</v>
      </c>
      <c r="K3">
        <v>4</v>
      </c>
      <c r="V3" t="s">
        <v>75</v>
      </c>
      <c r="W3">
        <f>COUNTIFS(Raw_Data!D:D,V3,Raw_Data!L:L,"Open")</f>
        <v>2</v>
      </c>
      <c r="X3">
        <f>COUNTIFS(Raw_Data!D:D,V3,Raw_Data!L:L,"Closed")</f>
        <v>0</v>
      </c>
    </row>
    <row r="4" spans="1:24" x14ac:dyDescent="0.2">
      <c r="A4" t="s">
        <v>31</v>
      </c>
      <c r="B4">
        <f>COUNTIF(Raw_Data!B:B,A4)</f>
        <v>2</v>
      </c>
      <c r="D4" t="s">
        <v>32</v>
      </c>
      <c r="E4">
        <f>COUNTIF(Raw_Data!C:C,D4)</f>
        <v>3</v>
      </c>
      <c r="G4" t="s">
        <v>81</v>
      </c>
      <c r="H4">
        <f>COUNTIF(Raw_Data!D:D,G4)</f>
        <v>4</v>
      </c>
      <c r="V4" t="s">
        <v>81</v>
      </c>
      <c r="W4">
        <f>COUNTIFS(Raw_Data!D:D,V4,Raw_Data!L:L,"Open")</f>
        <v>4</v>
      </c>
      <c r="X4">
        <f>COUNTIFS(Raw_Data!D:D,V4,Raw_Data!L:L,"Closed")</f>
        <v>0</v>
      </c>
    </row>
    <row r="5" spans="1:24" x14ac:dyDescent="0.2">
      <c r="A5" t="s">
        <v>37</v>
      </c>
      <c r="B5">
        <f>COUNTIF(Raw_Data!B:B,A5)</f>
        <v>2</v>
      </c>
      <c r="D5" t="s">
        <v>38</v>
      </c>
      <c r="E5">
        <f>COUNTIF(Raw_Data!C:C,D5)</f>
        <v>5</v>
      </c>
      <c r="G5" t="s">
        <v>33</v>
      </c>
      <c r="H5">
        <f>COUNTIF(Raw_Data!D:D,G5)</f>
        <v>7</v>
      </c>
      <c r="V5" t="s">
        <v>33</v>
      </c>
      <c r="W5">
        <f>COUNTIFS(Raw_Data!D:D,V5,Raw_Data!L:L,"Open")</f>
        <v>7</v>
      </c>
      <c r="X5">
        <f>COUNTIFS(Raw_Data!D:D,V5,Raw_Data!L:L,"Closed")</f>
        <v>0</v>
      </c>
    </row>
    <row r="6" spans="1:24" x14ac:dyDescent="0.2">
      <c r="A6" t="s">
        <v>44</v>
      </c>
      <c r="B6">
        <f>COUNTIF(Raw_Data!B:B,A6)</f>
        <v>3</v>
      </c>
      <c r="D6" t="s">
        <v>45</v>
      </c>
      <c r="E6">
        <f>COUNTIF(Raw_Data!C:C,D6)</f>
        <v>4</v>
      </c>
      <c r="G6" t="s">
        <v>25</v>
      </c>
      <c r="H6">
        <f>COUNTIF(Raw_Data!D:D,G6)</f>
        <v>8</v>
      </c>
      <c r="V6" t="s">
        <v>25</v>
      </c>
      <c r="W6">
        <f>COUNTIFS(Raw_Data!D:D,V6,Raw_Data!L:L,"Open")</f>
        <v>7</v>
      </c>
      <c r="X6">
        <f>COUNTIFS(Raw_Data!D:D,V6,Raw_Data!L:L,"Closed")</f>
        <v>1</v>
      </c>
    </row>
    <row r="7" spans="1:24" x14ac:dyDescent="0.2">
      <c r="A7" t="s">
        <v>52</v>
      </c>
      <c r="B7">
        <f>COUNTIF(Raw_Data!B:B,A7)</f>
        <v>2</v>
      </c>
      <c r="D7" t="s">
        <v>53</v>
      </c>
      <c r="E7">
        <f>COUNTIF(Raw_Data!C:C,D7)</f>
        <v>6</v>
      </c>
      <c r="G7" t="s">
        <v>46</v>
      </c>
      <c r="H7">
        <f>COUNTIF(Raw_Data!D:D,G7)</f>
        <v>7</v>
      </c>
      <c r="V7" t="s">
        <v>46</v>
      </c>
      <c r="W7">
        <f>COUNTIFS(Raw_Data!D:D,V7,Raw_Data!L:L,"Open")</f>
        <v>5</v>
      </c>
      <c r="X7">
        <f>COUNTIFS(Raw_Data!D:D,V7,Raw_Data!L:L,"Closed")</f>
        <v>2</v>
      </c>
    </row>
    <row r="8" spans="1:24" x14ac:dyDescent="0.2">
      <c r="A8" t="s">
        <v>56</v>
      </c>
      <c r="B8">
        <f>COUNTIF(Raw_Data!B:B,A8)</f>
        <v>3</v>
      </c>
      <c r="D8" t="s">
        <v>74</v>
      </c>
      <c r="E8">
        <f>COUNTIF(Raw_Data!C:C,D8)</f>
        <v>3</v>
      </c>
    </row>
    <row r="9" spans="1:24" x14ac:dyDescent="0.2">
      <c r="A9" t="s">
        <v>61</v>
      </c>
      <c r="B9">
        <f>COUNTIF(Raw_Data!B:B,A9)</f>
        <v>3</v>
      </c>
      <c r="D9" t="s">
        <v>80</v>
      </c>
      <c r="E9">
        <f>COUNTIF(Raw_Data!C:C,D9)</f>
        <v>3</v>
      </c>
    </row>
    <row r="10" spans="1:24" x14ac:dyDescent="0.2">
      <c r="A10" t="s">
        <v>66</v>
      </c>
      <c r="B10">
        <f>COUNTIF(Raw_Data!B:B,A10)</f>
        <v>2</v>
      </c>
      <c r="D10" t="s">
        <v>62</v>
      </c>
      <c r="E10">
        <f>COUNTIF(Raw_Data!C:C,D10)</f>
        <v>3</v>
      </c>
    </row>
    <row r="11" spans="1:24" x14ac:dyDescent="0.2">
      <c r="A11" t="s">
        <v>69</v>
      </c>
      <c r="B11">
        <f>COUNTIF(Raw_Data!B:B,A11)</f>
        <v>3</v>
      </c>
      <c r="D11" t="s">
        <v>57</v>
      </c>
      <c r="E11">
        <f>COUNTIF(Raw_Data!C:C,D11)</f>
        <v>3</v>
      </c>
    </row>
    <row r="13" spans="1:24" x14ac:dyDescent="0.2">
      <c r="A13" s="3" t="s">
        <v>3</v>
      </c>
      <c r="B13" t="s">
        <v>166</v>
      </c>
    </row>
    <row r="14" spans="1:24" x14ac:dyDescent="0.2">
      <c r="A14" t="s">
        <v>15</v>
      </c>
      <c r="B14">
        <f>AVERAGEIF(Raw_Data!$D$2:$D$41,A14,Raw_Data!$H$2:$H$41)</f>
        <v>10.266666666666667</v>
      </c>
    </row>
    <row r="15" spans="1:24" x14ac:dyDescent="0.2">
      <c r="A15" t="s">
        <v>75</v>
      </c>
      <c r="B15">
        <f>AVERAGEIF(Raw_Data!$D$2:$D$41,A15,Raw_Data!$H$2:$H$41)</f>
        <v>6.7</v>
      </c>
    </row>
    <row r="16" spans="1:24" x14ac:dyDescent="0.2">
      <c r="A16" t="s">
        <v>33</v>
      </c>
      <c r="B16">
        <f>AVERAGEIF(Raw_Data!$D$2:$D$41,A16,Raw_Data!$H$2:$H$41)</f>
        <v>8.5714285714285712</v>
      </c>
    </row>
    <row r="17" spans="1:2" x14ac:dyDescent="0.2">
      <c r="A17" t="s">
        <v>25</v>
      </c>
      <c r="B17">
        <f>AVERAGEIF(Raw_Data!$D$2:$D$41,A17,Raw_Data!$H$2:$H$41)</f>
        <v>8.85</v>
      </c>
    </row>
    <row r="18" spans="1:2" x14ac:dyDescent="0.2">
      <c r="A18" t="s">
        <v>46</v>
      </c>
      <c r="B18">
        <f>AVERAGEIF(Raw_Data!$D$2:$D$41,A18,Raw_Data!$H$2:$H$41)</f>
        <v>7.6285714285714281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C42D1-7C4A-4645-875C-C923EF53454D}">
  <dimension ref="A1:Z86"/>
  <sheetViews>
    <sheetView tabSelected="1" topLeftCell="O1" zoomScaleNormal="60" zoomScaleSheetLayoutView="100" workbookViewId="0">
      <selection activeCell="B81" sqref="B81:B84"/>
    </sheetView>
  </sheetViews>
  <sheetFormatPr defaultColWidth="8.609375" defaultRowHeight="15" x14ac:dyDescent="0.2"/>
  <cols>
    <col min="2" max="2" width="61.33984375" customWidth="1"/>
    <col min="3" max="3" width="56.36328125" customWidth="1"/>
    <col min="4" max="4" width="3.62890625" customWidth="1"/>
    <col min="5" max="5" width="18.16015625" customWidth="1"/>
    <col min="6" max="6" width="15.33203125" customWidth="1"/>
    <col min="14" max="14" width="4.3046875" customWidth="1"/>
    <col min="15" max="15" width="22.05859375" customWidth="1"/>
    <col min="16" max="16" width="10.22265625" customWidth="1"/>
    <col min="17" max="17" width="33.62890625" customWidth="1"/>
    <col min="18" max="18" width="22.05859375" customWidth="1"/>
    <col min="19" max="19" width="3.359375" customWidth="1"/>
    <col min="20" max="20" width="19.90625" hidden="1" customWidth="1"/>
    <col min="21" max="21" width="16.140625" hidden="1" customWidth="1"/>
    <col min="22" max="23" width="0" hidden="1" customWidth="1"/>
    <col min="24" max="24" width="43.71875" hidden="1" customWidth="1"/>
    <col min="25" max="25" width="42.91015625" hidden="1" customWidth="1"/>
    <col min="26" max="26" width="0" hidden="1" customWidth="1"/>
  </cols>
  <sheetData>
    <row r="1" spans="1:26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23.25" customHeight="1" x14ac:dyDescent="0.2">
      <c r="A2" s="15" t="s">
        <v>184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18.7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5" customHeight="1" x14ac:dyDescent="0.2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" customHeight="1" x14ac:dyDescent="0.2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ht="15" customHeight="1" x14ac:dyDescent="0.2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spans="1:26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3.25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18" t="s">
        <v>173</v>
      </c>
      <c r="R11" s="18"/>
      <c r="S11" s="4"/>
      <c r="T11" s="4"/>
      <c r="U11" s="4"/>
      <c r="V11" s="4"/>
      <c r="W11" s="4"/>
      <c r="X11" s="4"/>
      <c r="Y11" s="4"/>
      <c r="Z11" s="4"/>
    </row>
    <row r="12" spans="1:26" ht="2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9" t="s">
        <v>161</v>
      </c>
      <c r="R12" s="9">
        <v>40</v>
      </c>
      <c r="S12" s="4"/>
      <c r="T12" s="4"/>
      <c r="U12" s="4"/>
      <c r="V12" s="4"/>
      <c r="W12" s="4"/>
      <c r="X12" s="4"/>
      <c r="Y12" s="4"/>
      <c r="Z12" s="4"/>
    </row>
    <row r="13" spans="1:26" ht="2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9" t="s">
        <v>162</v>
      </c>
      <c r="R13" s="9">
        <v>36</v>
      </c>
      <c r="S13" s="4"/>
      <c r="T13" s="4"/>
      <c r="U13" s="4"/>
      <c r="V13" s="4"/>
      <c r="W13" s="4"/>
      <c r="X13" s="4"/>
      <c r="Y13" s="4"/>
      <c r="Z13" s="4"/>
    </row>
    <row r="14" spans="1:26" ht="21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9" t="s">
        <v>163</v>
      </c>
      <c r="R14" s="9">
        <v>4</v>
      </c>
      <c r="S14" s="4"/>
      <c r="T14" s="4"/>
      <c r="U14" s="4"/>
      <c r="V14" s="4"/>
      <c r="W14" s="4"/>
      <c r="X14" s="4"/>
      <c r="Y14" s="4"/>
      <c r="Z14" s="4"/>
    </row>
    <row r="15" spans="1:26" ht="2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9" t="s">
        <v>164</v>
      </c>
      <c r="R15" s="9" t="s">
        <v>165</v>
      </c>
      <c r="S15" s="4"/>
      <c r="T15" s="4"/>
      <c r="U15" s="4"/>
      <c r="V15" s="4"/>
      <c r="W15" s="4"/>
      <c r="X15" s="4"/>
      <c r="Y15" s="4"/>
      <c r="Z15" s="4"/>
    </row>
    <row r="16" spans="1:26" ht="2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9" t="s">
        <v>166</v>
      </c>
      <c r="R16" s="9">
        <v>9.0299999999999994</v>
      </c>
      <c r="S16" s="4"/>
      <c r="T16" s="4"/>
      <c r="U16" s="4"/>
      <c r="V16" s="4"/>
      <c r="W16" s="4"/>
      <c r="X16" s="4"/>
      <c r="Y16" s="4"/>
      <c r="Z16" s="4"/>
    </row>
    <row r="17" spans="1:26" ht="2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9" t="s">
        <v>167</v>
      </c>
      <c r="R17" s="9">
        <v>7979</v>
      </c>
      <c r="S17" s="4"/>
      <c r="T17" s="4"/>
      <c r="U17" s="4"/>
      <c r="V17" s="4"/>
      <c r="W17" s="4"/>
      <c r="X17" s="4"/>
      <c r="Y17" s="4"/>
      <c r="Z17" s="4"/>
    </row>
    <row r="18" spans="1:26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23.25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18" t="s">
        <v>170</v>
      </c>
      <c r="R21" s="18"/>
      <c r="S21" s="4"/>
      <c r="T21" s="4"/>
      <c r="U21" s="4"/>
      <c r="V21" s="4"/>
      <c r="W21" s="4"/>
      <c r="X21" s="4"/>
      <c r="Y21" s="4"/>
      <c r="Z21" s="4"/>
    </row>
    <row r="22" spans="1:26" ht="2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9" t="s">
        <v>15</v>
      </c>
      <c r="R22" s="9">
        <v>2172</v>
      </c>
      <c r="S22" s="4"/>
      <c r="T22" s="4"/>
      <c r="U22" s="4"/>
      <c r="V22" s="4"/>
      <c r="W22" s="4"/>
      <c r="X22" s="4"/>
      <c r="Y22" s="4"/>
      <c r="Z22" s="4"/>
    </row>
    <row r="23" spans="1:26" ht="2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9" t="s">
        <v>75</v>
      </c>
      <c r="R23" s="9">
        <v>510</v>
      </c>
      <c r="S23" s="4"/>
      <c r="T23" s="4"/>
      <c r="U23" s="4"/>
      <c r="V23" s="4"/>
      <c r="W23" s="4"/>
      <c r="X23" s="4"/>
      <c r="Y23" s="4"/>
      <c r="Z23" s="4"/>
    </row>
    <row r="24" spans="1:26" ht="2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9" t="s">
        <v>81</v>
      </c>
      <c r="R24" s="9">
        <v>665</v>
      </c>
      <c r="S24" s="4"/>
      <c r="T24" s="4"/>
      <c r="U24" s="4"/>
      <c r="V24" s="4"/>
      <c r="W24" s="4"/>
      <c r="X24" s="4"/>
      <c r="Y24" s="4"/>
      <c r="Z24" s="4"/>
    </row>
    <row r="25" spans="1:26" ht="2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9" t="s">
        <v>33</v>
      </c>
      <c r="R25" s="9">
        <v>1426</v>
      </c>
      <c r="S25" s="4"/>
      <c r="T25" s="4"/>
      <c r="U25" s="4"/>
      <c r="V25" s="4"/>
      <c r="W25" s="4"/>
      <c r="X25" s="4"/>
      <c r="Y25" s="4"/>
      <c r="Z25" s="4"/>
    </row>
    <row r="26" spans="1:26" ht="2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9" t="s">
        <v>25</v>
      </c>
      <c r="R26" s="9">
        <v>1704</v>
      </c>
      <c r="S26" s="4"/>
      <c r="T26" s="4"/>
      <c r="U26" s="4"/>
      <c r="V26" s="4"/>
      <c r="W26" s="4"/>
      <c r="X26" s="4"/>
      <c r="Y26" s="4"/>
      <c r="Z26" s="4"/>
    </row>
    <row r="27" spans="1:26" ht="2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9" t="s">
        <v>46</v>
      </c>
      <c r="R27" s="9">
        <v>1459</v>
      </c>
      <c r="S27" s="4"/>
      <c r="T27" s="4"/>
      <c r="U27" s="4"/>
      <c r="V27" s="4"/>
      <c r="W27" s="4"/>
      <c r="X27" s="4"/>
      <c r="Y27" s="4"/>
      <c r="Z27" s="4"/>
    </row>
    <row r="28" spans="1:26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3.25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18" t="s">
        <v>171</v>
      </c>
      <c r="R33" s="18"/>
      <c r="S33" s="4"/>
      <c r="T33" s="4"/>
      <c r="U33" s="4"/>
      <c r="V33" s="4"/>
      <c r="W33" s="4"/>
      <c r="X33" s="4"/>
      <c r="Y33" s="4"/>
      <c r="Z33" s="4"/>
    </row>
    <row r="34" spans="1:26" ht="2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9" t="s">
        <v>5</v>
      </c>
      <c r="R34" s="9" t="s">
        <v>157</v>
      </c>
      <c r="S34" s="4"/>
      <c r="T34" s="4"/>
      <c r="U34" s="4"/>
      <c r="V34" s="4"/>
      <c r="W34" s="4"/>
      <c r="X34" s="4"/>
      <c r="Y34" s="4"/>
      <c r="Z34" s="4"/>
    </row>
    <row r="35" spans="1:26" ht="2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9" t="s">
        <v>17</v>
      </c>
      <c r="R35" s="9">
        <v>5</v>
      </c>
      <c r="S35" s="4"/>
      <c r="T35" s="4"/>
      <c r="U35" s="4"/>
      <c r="V35" s="4"/>
      <c r="W35" s="4"/>
      <c r="X35" s="4"/>
      <c r="Y35" s="4"/>
      <c r="Z35" s="4"/>
    </row>
    <row r="36" spans="1:26" ht="2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9" t="s">
        <v>27</v>
      </c>
      <c r="R36" s="9">
        <v>3</v>
      </c>
      <c r="S36" s="4"/>
      <c r="T36" s="4"/>
      <c r="U36" s="4"/>
      <c r="V36" s="4"/>
      <c r="W36" s="4"/>
      <c r="X36" s="4"/>
      <c r="Y36" s="4"/>
      <c r="Z36" s="4"/>
    </row>
    <row r="37" spans="1:26" ht="2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9" t="s">
        <v>34</v>
      </c>
      <c r="R37" s="9">
        <v>6</v>
      </c>
      <c r="S37" s="4"/>
      <c r="T37" s="4"/>
      <c r="U37" s="4"/>
      <c r="V37" s="4"/>
      <c r="W37" s="4"/>
      <c r="X37" s="4"/>
      <c r="Y37" s="4"/>
      <c r="Z37" s="4"/>
    </row>
    <row r="38" spans="1:26" ht="2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9" t="s">
        <v>40</v>
      </c>
      <c r="R38" s="9">
        <v>3</v>
      </c>
      <c r="S38" s="4"/>
      <c r="T38" s="4"/>
      <c r="U38" s="4"/>
      <c r="V38" s="4"/>
      <c r="W38" s="4"/>
      <c r="X38" s="4"/>
      <c r="Y38" s="4"/>
      <c r="Z38" s="4"/>
    </row>
    <row r="39" spans="1:26" ht="2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9" t="s">
        <v>47</v>
      </c>
      <c r="R39" s="9">
        <v>3</v>
      </c>
      <c r="S39" s="4"/>
      <c r="T39" s="4"/>
      <c r="U39" s="4"/>
      <c r="V39" s="4"/>
      <c r="W39" s="4"/>
      <c r="X39" s="4"/>
      <c r="Y39" s="4"/>
      <c r="Z39" s="4"/>
    </row>
    <row r="40" spans="1:26" ht="2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9" t="s">
        <v>63</v>
      </c>
      <c r="R40" s="9">
        <v>3</v>
      </c>
      <c r="S40" s="4"/>
      <c r="T40" s="4"/>
      <c r="U40" s="4"/>
      <c r="V40" s="4"/>
      <c r="W40" s="4"/>
      <c r="X40" s="4"/>
      <c r="Y40" s="4"/>
      <c r="Z40" s="4"/>
    </row>
    <row r="41" spans="1:26" ht="2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9" t="s">
        <v>70</v>
      </c>
      <c r="R41" s="9">
        <v>3</v>
      </c>
      <c r="S41" s="4"/>
      <c r="T41" s="4"/>
      <c r="U41" s="4"/>
      <c r="V41" s="4"/>
      <c r="W41" s="4"/>
      <c r="X41" s="4"/>
      <c r="Y41" s="4"/>
      <c r="Z41" s="4"/>
    </row>
    <row r="42" spans="1:26" ht="2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9" t="s">
        <v>76</v>
      </c>
      <c r="R42" s="9">
        <v>2</v>
      </c>
      <c r="S42" s="4"/>
      <c r="T42" s="4"/>
      <c r="U42" s="4"/>
      <c r="V42" s="4"/>
      <c r="W42" s="4"/>
      <c r="X42" s="4"/>
      <c r="Y42" s="4"/>
      <c r="Z42" s="4"/>
    </row>
    <row r="43" spans="1:26" ht="2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9" t="s">
        <v>82</v>
      </c>
      <c r="R43" s="9">
        <v>2</v>
      </c>
      <c r="S43" s="4"/>
      <c r="T43" s="4"/>
      <c r="U43" s="4"/>
      <c r="V43" s="4"/>
      <c r="W43" s="4"/>
      <c r="X43" s="4"/>
      <c r="Y43" s="4"/>
      <c r="Z43" s="4"/>
    </row>
    <row r="44" spans="1:26" ht="2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9" t="s">
        <v>86</v>
      </c>
      <c r="R44" s="9">
        <v>2</v>
      </c>
      <c r="S44" s="4"/>
      <c r="T44" s="4"/>
      <c r="U44" s="4"/>
      <c r="V44" s="4"/>
      <c r="W44" s="4"/>
      <c r="X44" s="4"/>
      <c r="Y44" s="4"/>
      <c r="Z44" s="4"/>
    </row>
    <row r="45" spans="1:26" ht="2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9" t="s">
        <v>91</v>
      </c>
      <c r="R45" s="9">
        <v>2</v>
      </c>
      <c r="S45" s="4"/>
      <c r="T45" s="4"/>
      <c r="U45" s="4"/>
      <c r="V45" s="4"/>
      <c r="W45" s="4"/>
      <c r="X45" s="4"/>
      <c r="Y45" s="4"/>
      <c r="Z45" s="4"/>
    </row>
    <row r="46" spans="1:26" ht="2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9" t="s">
        <v>100</v>
      </c>
      <c r="R46" s="9">
        <v>2</v>
      </c>
      <c r="S46" s="4"/>
      <c r="T46" s="4"/>
      <c r="U46" s="4"/>
      <c r="V46" s="4"/>
      <c r="W46" s="4"/>
      <c r="X46" s="4"/>
      <c r="Y46" s="4"/>
      <c r="Z46" s="4"/>
    </row>
    <row r="47" spans="1:26" ht="2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9" t="s">
        <v>106</v>
      </c>
      <c r="R47" s="9">
        <v>2</v>
      </c>
      <c r="S47" s="4"/>
      <c r="T47" s="4"/>
      <c r="U47" s="4"/>
      <c r="V47" s="4"/>
      <c r="W47" s="4"/>
      <c r="X47" s="4"/>
      <c r="Y47" s="4"/>
      <c r="Z47" s="4"/>
    </row>
    <row r="48" spans="1:26" ht="2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9" t="s">
        <v>113</v>
      </c>
      <c r="R48" s="9">
        <v>1</v>
      </c>
      <c r="S48" s="4"/>
      <c r="T48" s="4"/>
      <c r="U48" s="4"/>
      <c r="V48" s="4"/>
      <c r="W48" s="4"/>
      <c r="X48" s="4"/>
      <c r="Y48" s="4"/>
      <c r="Z48" s="4"/>
    </row>
    <row r="49" spans="1:26" ht="2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9" t="s">
        <v>136</v>
      </c>
      <c r="R49" s="9">
        <v>1</v>
      </c>
      <c r="S49" s="4"/>
      <c r="T49" s="4"/>
      <c r="U49" s="4"/>
      <c r="V49" s="4"/>
      <c r="W49" s="4"/>
      <c r="X49" s="4"/>
      <c r="Y49" s="4"/>
      <c r="Z49" s="4"/>
    </row>
    <row r="50" spans="1:26" x14ac:dyDescent="0.2">
      <c r="A50" s="4"/>
      <c r="B50" s="4"/>
      <c r="C50" s="6"/>
      <c r="D50" s="6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x14ac:dyDescent="0.2">
      <c r="A51" s="4"/>
      <c r="B51" s="4"/>
      <c r="C51" s="6"/>
      <c r="D51" s="6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x14ac:dyDescent="0.2">
      <c r="A52" s="4"/>
      <c r="B52" s="4"/>
      <c r="C52" s="6"/>
      <c r="D52" s="6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x14ac:dyDescent="0.2">
      <c r="A53" s="4"/>
      <c r="B53" s="4"/>
      <c r="C53" s="6"/>
      <c r="D53" s="6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3.25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16" t="s">
        <v>172</v>
      </c>
      <c r="R54" s="17"/>
      <c r="S54" s="4"/>
      <c r="T54" s="4"/>
      <c r="U54" s="4"/>
      <c r="V54" s="4"/>
      <c r="W54" s="4"/>
      <c r="X54" s="4"/>
      <c r="Y54" s="4"/>
      <c r="Z54" s="4"/>
    </row>
    <row r="55" spans="1:26" ht="2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9" t="s">
        <v>161</v>
      </c>
      <c r="R55" s="9">
        <v>40</v>
      </c>
      <c r="S55" s="4"/>
      <c r="T55" s="4"/>
      <c r="U55" s="4"/>
      <c r="V55" s="4"/>
      <c r="W55" s="4"/>
      <c r="X55" s="4"/>
      <c r="Y55" s="4"/>
      <c r="Z55" s="4"/>
    </row>
    <row r="56" spans="1:26" ht="2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9" t="s">
        <v>162</v>
      </c>
      <c r="R56" s="9">
        <v>36</v>
      </c>
      <c r="S56" s="4"/>
      <c r="T56" s="4"/>
      <c r="U56" s="4"/>
      <c r="V56" s="4"/>
      <c r="W56" s="4"/>
      <c r="X56" s="4"/>
      <c r="Y56" s="4"/>
      <c r="Z56" s="4"/>
    </row>
    <row r="57" spans="1:26" ht="2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9" t="s">
        <v>163</v>
      </c>
      <c r="R57" s="9">
        <v>4</v>
      </c>
      <c r="S57" s="8"/>
      <c r="T57" s="4"/>
      <c r="U57" s="4"/>
      <c r="V57" s="4"/>
      <c r="W57" s="4"/>
      <c r="X57" s="4"/>
      <c r="Y57" s="4"/>
      <c r="Z57" s="4"/>
    </row>
    <row r="58" spans="1:26" ht="2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10" t="s">
        <v>168</v>
      </c>
      <c r="R58" s="11">
        <v>0.9</v>
      </c>
      <c r="S58" s="4"/>
      <c r="T58" s="4"/>
      <c r="U58" s="4"/>
      <c r="V58" s="4"/>
      <c r="W58" s="4"/>
      <c r="X58" s="4"/>
      <c r="Y58" s="4"/>
      <c r="Z58" s="4"/>
    </row>
    <row r="59" spans="1:26" ht="2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9" t="s">
        <v>169</v>
      </c>
      <c r="R59" s="12">
        <v>0.1</v>
      </c>
      <c r="S59" s="4"/>
      <c r="T59" s="4"/>
      <c r="U59" s="4"/>
      <c r="V59" s="4"/>
      <c r="W59" s="4"/>
      <c r="X59" s="4"/>
      <c r="Y59" s="4"/>
      <c r="Z59" s="4"/>
    </row>
    <row r="60" spans="1:26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3.25" x14ac:dyDescent="0.3">
      <c r="A79" s="4"/>
      <c r="B79" s="13" t="s">
        <v>174</v>
      </c>
      <c r="C79" s="13" t="s">
        <v>179</v>
      </c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x14ac:dyDescent="0.2">
      <c r="A80" s="4"/>
      <c r="B80" s="5"/>
      <c r="C80" s="7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x14ac:dyDescent="0.3">
      <c r="A81" s="4"/>
      <c r="B81" s="14" t="s">
        <v>175</v>
      </c>
      <c r="C81" s="9" t="s">
        <v>180</v>
      </c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x14ac:dyDescent="0.3">
      <c r="A82" s="4"/>
      <c r="B82" s="14" t="s">
        <v>176</v>
      </c>
      <c r="C82" s="9" t="s">
        <v>181</v>
      </c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x14ac:dyDescent="0.3">
      <c r="A83" s="4"/>
      <c r="B83" s="14" t="s">
        <v>177</v>
      </c>
      <c r="C83" s="9" t="s">
        <v>182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x14ac:dyDescent="0.3">
      <c r="A84" s="4"/>
      <c r="B84" s="14" t="s">
        <v>178</v>
      </c>
      <c r="C84" s="9" t="s">
        <v>183</v>
      </c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</sheetData>
  <mergeCells count="5">
    <mergeCell ref="A2:Z6"/>
    <mergeCell ref="Q54:R54"/>
    <mergeCell ref="Q11:R11"/>
    <mergeCell ref="Q33:R33"/>
    <mergeCell ref="Q21:R21"/>
  </mergeCells>
  <pageMargins left="0.7" right="0.7" top="0.75" bottom="0.75" header="0.3" footer="0.3"/>
  <pageSetup paperSize="9" scale="0" firstPageNumber="0" fitToWidth="0" fitToHeight="0" orientation="landscape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PivotTables</vt:lpstr>
      <vt:lpstr>Job Dashboard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2026-08-17T08:19:09Z</dcterms:created>
  <dcterms:modified xsi:type="dcterms:W3CDTF">2026-08-17T08:19:09Z</dcterms:modified>
</cp:coreProperties>
</file>